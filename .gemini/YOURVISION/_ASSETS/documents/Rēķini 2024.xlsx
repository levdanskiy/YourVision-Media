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1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i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</sheets>
  <externalReferences>
    <externalReference r:id="rId21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<sst xmlns="http://schemas.openxmlformats.org/spreadsheetml/2006/main" count="789" uniqueCount="108">
  <si>
    <t xml:space="preserve">Pakalpojums</t>
  </si>
  <si>
    <t xml:space="preserve">Samaksāts</t>
  </si>
  <si>
    <t xml:space="preserve">Skaits</t>
  </si>
  <si>
    <t xml:space="preserve">Apmaksai</t>
  </si>
  <si>
    <t xml:space="preserve">Dzīvokļa nr.</t>
  </si>
  <si>
    <t xml:space="preserve">Rēķina nr.</t>
  </si>
  <si>
    <t xml:space="preserve">Kanalizācija</t>
  </si>
  <si>
    <t xml:space="preserve">Aukstais ūdens</t>
  </si>
  <si>
    <t xml:space="preserve">Gāzes patēriņš</t>
  </si>
  <si>
    <t xml:space="preserve">Skaitītāju rādījumi par:</t>
  </si>
  <si>
    <t xml:space="preserve">01.11.2025.-30.11.2025.</t>
  </si>
  <si>
    <t xml:space="preserve">Elektrība</t>
  </si>
  <si>
    <t xml:space="preserve">Atkritumi</t>
  </si>
  <si>
    <t xml:space="preserve">Gāzes abon.</t>
  </si>
  <si>
    <t xml:space="preserve">Elektības cena</t>
  </si>
  <si>
    <t xml:space="preserve">Iepriekš</t>
  </si>
  <si>
    <t xml:space="preserve">Tagad</t>
  </si>
  <si>
    <t xml:space="preserve">Patēriņš</t>
  </si>
  <si>
    <t xml:space="preserve">DEC2025/01</t>
  </si>
  <si>
    <t xml:space="preserve">DEC2025/02</t>
  </si>
  <si>
    <t xml:space="preserve">DEC2025/03</t>
  </si>
  <si>
    <t xml:space="preserve">DEC2025/04</t>
  </si>
  <si>
    <t xml:space="preserve">Gāzes apgāde</t>
  </si>
  <si>
    <t xml:space="preserve">DEC2025/05</t>
  </si>
  <si>
    <t xml:space="preserve">DEC2025/06</t>
  </si>
  <si>
    <t xml:space="preserve">Rēķina datums</t>
  </si>
  <si>
    <t xml:space="preserve">DEC2025/07</t>
  </si>
  <si>
    <t xml:space="preserve">Apmaksas datums</t>
  </si>
  <si>
    <t xml:space="preserve">DEC2025/08</t>
  </si>
  <si>
    <t xml:space="preserve">DEC2025/09</t>
  </si>
  <si>
    <t xml:space="preserve">DEC2025/10</t>
  </si>
  <si>
    <t xml:space="preserve">DEC2025/11</t>
  </si>
  <si>
    <t xml:space="preserve">DEC2025/12</t>
  </si>
  <si>
    <t xml:space="preserve">DEC2025/13</t>
  </si>
  <si>
    <t xml:space="preserve">DEC2025/14</t>
  </si>
  <si>
    <t xml:space="preserve">DEC2025/15</t>
  </si>
  <si>
    <t xml:space="preserve">DEC2025/16</t>
  </si>
  <si>
    <t xml:space="preserve">DEC2025/17</t>
  </si>
  <si>
    <t xml:space="preserve">DEC2025/18</t>
  </si>
  <si>
    <t xml:space="preserve">Kopā</t>
  </si>
  <si>
    <t xml:space="preserve">Janīna Bobriševa</t>
  </si>
  <si>
    <t xml:space="preserve">RĒĶINS</t>
  </si>
  <si>
    <t xml:space="preserve">Reģistrācija numurs: 01035710032</t>
  </si>
  <si>
    <t xml:space="preserve">Rēķina numurs:</t>
  </si>
  <si>
    <t xml:space="preserve">Parka iela 24, dz. 3</t>
  </si>
  <si>
    <t xml:space="preserve">Rēķina datums:</t>
  </si>
  <si>
    <t xml:space="preserve">Eleja, LV-3023</t>
  </si>
  <si>
    <t xml:space="preserve">Apmaksāt līdz:</t>
  </si>
  <si>
    <t xml:space="preserve">Zaiga Vīksne</t>
  </si>
  <si>
    <t xml:space="preserve">Parka iela 24, dz. 1</t>
  </si>
  <si>
    <t xml:space="preserve">NPK</t>
  </si>
  <si>
    <t xml:space="preserve">PAKALPOJUMS</t>
  </si>
  <si>
    <t xml:space="preserve">CENA PAR VIENĪBU (EUR)</t>
  </si>
  <si>
    <t xml:space="preserve">DAUDZUMS</t>
  </si>
  <si>
    <t xml:space="preserve">KOPĀ (EUR)</t>
  </si>
  <si>
    <t xml:space="preserve">Dzīvokļa īre</t>
  </si>
  <si>
    <t xml:space="preserve">Gāzes abonēšana</t>
  </si>
  <si>
    <t xml:space="preserve">Elektrības patēriņš</t>
  </si>
  <si>
    <t xml:space="preserve">Kopā (EUR)</t>
  </si>
  <si>
    <t xml:space="preserve">Pārmaksa (EUR)</t>
  </si>
  <si>
    <t xml:space="preserve">Parāds (EUR)</t>
  </si>
  <si>
    <t xml:space="preserve">Summa apmaksai (EUR)</t>
  </si>
  <si>
    <t xml:space="preserve">IEPRIEKŠ</t>
  </si>
  <si>
    <t xml:space="preserve">TAGAD</t>
  </si>
  <si>
    <t xml:space="preserve">PATĒRIŅŠ</t>
  </si>
  <si>
    <t xml:space="preserve">Aukst. ūdens</t>
  </si>
  <si>
    <t xml:space="preserve">Gāzes patēr.</t>
  </si>
  <si>
    <t xml:space="preserve">VEICOT MAKSĀJUMU AR INTERNETBNAKAS STARPNIECĪBU, OBLIGĀTI NORĀDĪT RĒĶINA NUMURU!</t>
  </si>
  <si>
    <t xml:space="preserve">BIC/SWIFT</t>
  </si>
  <si>
    <t xml:space="preserve">Bankas konta numurs/IBAN</t>
  </si>
  <si>
    <t xml:space="preserve">Telefons:</t>
  </si>
  <si>
    <t xml:space="preserve">HABALV22</t>
  </si>
  <si>
    <t xml:space="preserve">LV40HABA0551032242194          AS SWEDBANK</t>
  </si>
  <si>
    <t xml:space="preserve">E-pasts:</t>
  </si>
  <si>
    <t xml:space="preserve">janinabobriseva57@inbox.lv</t>
  </si>
  <si>
    <t xml:space="preserve">Ēriks Černovskis</t>
  </si>
  <si>
    <t xml:space="preserve">Parka iela 24, dz. 2</t>
  </si>
  <si>
    <t xml:space="preserve">Ritvars Simanovičs</t>
  </si>
  <si>
    <t xml:space="preserve">Parka iela 24, dz. 4</t>
  </si>
  <si>
    <t xml:space="preserve">Ligita Brāle</t>
  </si>
  <si>
    <t xml:space="preserve">Parka iela 24, dz. 5</t>
  </si>
  <si>
    <t xml:space="preserve">Diāna Plokste</t>
  </si>
  <si>
    <t xml:space="preserve">Parka iela 24, dz. 6</t>
  </si>
  <si>
    <t xml:space="preserve">Asja Ņikitina</t>
  </si>
  <si>
    <t xml:space="preserve">Parka iela 24, dz. 7</t>
  </si>
  <si>
    <t xml:space="preserve">Oļesja Turovska</t>
  </si>
  <si>
    <t xml:space="preserve">Parka iela 24, dz. 8</t>
  </si>
  <si>
    <t xml:space="preserve">Svetlana Ļevdanska</t>
  </si>
  <si>
    <t xml:space="preserve">Parka iela 24, dz. 9</t>
  </si>
  <si>
    <t xml:space="preserve">Viktorija Jevdokimenko</t>
  </si>
  <si>
    <t xml:space="preserve">Parka iela 24, dz. 10</t>
  </si>
  <si>
    <t xml:space="preserve">Mirdza Strema</t>
  </si>
  <si>
    <t xml:space="preserve">Parka iela 24, dz. 11</t>
  </si>
  <si>
    <t xml:space="preserve">Gabriels Dioniss Gots</t>
  </si>
  <si>
    <t xml:space="preserve">Parka iela 24, dz. 12</t>
  </si>
  <si>
    <t xml:space="preserve">Mareks Voitehovičs</t>
  </si>
  <si>
    <t xml:space="preserve">Parka iela 24, dz. 13</t>
  </si>
  <si>
    <t xml:space="preserve">Virgīnija Elzbutaite</t>
  </si>
  <si>
    <t xml:space="preserve">Parka iela 24, dz. 14</t>
  </si>
  <si>
    <t xml:space="preserve">Vadims Dedjuļs</t>
  </si>
  <si>
    <t xml:space="preserve">Parka iela 24, dz. 15</t>
  </si>
  <si>
    <t xml:space="preserve">SIA HAF</t>
  </si>
  <si>
    <t xml:space="preserve">Reģ.nr. 43603049368</t>
  </si>
  <si>
    <t xml:space="preserve">Parka iela 24, dz. 16, Eleja, LV-3023</t>
  </si>
  <si>
    <t xml:space="preserve">Aina Kocare</t>
  </si>
  <si>
    <t xml:space="preserve">Parka iela 24, dz. 17</t>
  </si>
  <si>
    <t xml:space="preserve">Jānis Cielavs</t>
  </si>
  <si>
    <t xml:space="preserve">Parka iela 24, dz. 18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</si>
</sst>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General"/>
    <numFmt numFmtId="167" formatCode="dd/mmm/yy"/>
    <numFmt numFmtId="168" formatCode="0.000"/>
    <numFmt numFmtId="169" formatCode="0%"/>
    <numFmt numFmtId="170" formatCode="dd/mm/yyyy"/>
    <numFmt numFmtId="171" formatCode="dd/mm/yyyy\ h:mm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Selawik"/>
      <family val="2"/>
      <charset val="1"/>
    </font>
    <font>
      <b val="true"/>
      <sz val="11"/>
      <color rgb="FF000000"/>
      <name val="Selawik"/>
      <family val="2"/>
      <charset val="1"/>
    </font>
    <font>
      <sz val="11"/>
      <color rgb="FF000000"/>
      <name val="Posterama"/>
      <family val="2"/>
      <charset val="1"/>
    </font>
    <font>
      <sz val="11"/>
      <color rgb="FFDEE6EF"/>
      <name val="Posterama"/>
      <family val="2"/>
      <charset val="1"/>
    </font>
    <font>
      <sz val="11"/>
      <color rgb="FFFFFFFF"/>
      <name val="Calibri"/>
      <family val="2"/>
      <charset val="186"/>
    </font>
    <font>
      <b val="true"/>
      <sz val="9"/>
      <color rgb="FF000000"/>
      <name val="Posterama"/>
      <family val="2"/>
      <charset val="1"/>
    </font>
    <font>
      <sz val="10"/>
      <color rgb="FF000000"/>
      <name val="Posterama"/>
      <family val="2"/>
      <charset val="1"/>
    </font>
    <font>
      <b val="true"/>
      <sz val="11"/>
      <color rgb="FF000000"/>
      <name val="Posterama"/>
      <family val="2"/>
      <charset val="1"/>
    </font>
    <font>
      <i val="true"/>
      <sz val="11"/>
      <color rgb="FF000000"/>
      <name val="Posterama"/>
      <family val="2"/>
      <charset val="1"/>
    </font>
    <font>
      <b val="true"/>
      <sz val="14"/>
      <color rgb="FFDEE6EF"/>
      <name val="Posterama"/>
      <family val="2"/>
      <charset val="1"/>
    </font>
    <font>
      <b val="true"/>
      <i val="true"/>
      <sz val="11"/>
      <color rgb="FF000000"/>
      <name val="Posterama"/>
      <family val="2"/>
      <charset val="1"/>
    </font>
    <font>
      <i val="true"/>
      <sz val="10"/>
      <color rgb="FF000000"/>
      <name val="Posterama"/>
      <family val="2"/>
      <charset val="1"/>
    </font>
    <font>
      <b val="true"/>
      <sz val="10"/>
      <color rgb="FF000000"/>
      <name val="Posterama"/>
      <family val="2"/>
      <charset val="1"/>
    </font>
    <font>
      <sz val="14"/>
      <color rgb="FF000000"/>
      <name val="Posterama"/>
      <family val="2"/>
      <charset val="1"/>
    </font>
    <font>
      <u val="single"/>
      <sz val="11"/>
      <color rgb="FF0563C1"/>
      <name val="Posterama"/>
      <family val="2"/>
      <charset val="1"/>
    </font>
    <font>
      <u val="single"/>
      <sz val="11"/>
      <color rgb="FF0563C1"/>
      <name val="Calibri"/>
      <family val="2"/>
      <charset val="1"/>
    </font>
    <font>
      <sz val="14"/>
      <name val="Posteram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2A6099"/>
      </patternFill>
    </fill>
    <fill>
      <patternFill patternType="solid">
        <fgColor rgb="FFFFF2CC"/>
        <bgColor rgb="FFFBE5D6"/>
      </patternFill>
    </fill>
    <fill>
      <patternFill patternType="solid">
        <fgColor rgb="FFDEEBF7"/>
        <bgColor rgb="FFDEE6EF"/>
      </patternFill>
    </fill>
    <fill>
      <patternFill patternType="solid">
        <fgColor rgb="FFFBE5D6"/>
        <bgColor rgb="FFFFF2CC"/>
      </patternFill>
    </fill>
    <fill>
      <patternFill patternType="solid">
        <fgColor rgb="FFDAE3F3"/>
        <bgColor rgb="FFDEE6EF"/>
      </patternFill>
    </fill>
    <fill>
      <patternFill patternType="solid">
        <fgColor rgb="FFE2F0D9"/>
        <bgColor rgb="FFDEE6EF"/>
      </patternFill>
    </fill>
    <fill>
      <patternFill patternType="solid">
        <fgColor rgb="FF2A6099"/>
        <bgColor rgb="FF0563C1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dashed"/>
      <right style="dashed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dashed"/>
      <right style="dashed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dashed"/>
      <right style="dashed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7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3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6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8" borderId="3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8" borderId="3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5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E2F0D9"/>
      <rgbColor rgb="FFFFFF99"/>
      <rgbColor rgb="FF99CCFF"/>
      <rgbColor rgb="FFFF99CC"/>
      <rgbColor rgb="FFCC99FF"/>
      <rgbColor rgb="FFFBE5D6"/>
      <rgbColor rgb="FF4472C4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externalLink" Target="externalLinks/externalLink1.xml"/><Relationship Id="rId22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Users/levdanskiy/Dropbox/Apsaimnieko&#353;ana/R&#275;&#311;ini%202020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JS"/>
      <sheetName val="JŪNIJS"/>
      <sheetName val="JŪLIJS"/>
      <sheetName val="AUGUSTS"/>
      <sheetName val="SEPTEMBRIS"/>
      <sheetName val="OKTOBRIS"/>
      <sheetName val="NOVEMBRIS"/>
      <sheetName val="DECEMBRIS"/>
      <sheetName val="JANVĀRIS2019"/>
      <sheetName val="FEBRUĀRIS2019"/>
      <sheetName val="MARTS2019"/>
      <sheetName val="APRĪLIS2019"/>
      <sheetName val="MAIJS2019"/>
      <sheetName val="JŪNIJS2019"/>
      <sheetName val="JŪLIJS2019"/>
      <sheetName val="AUGUSTS2019"/>
      <sheetName val="SEPTEMBRIS2019"/>
      <sheetName val="OKTOBRIS2019"/>
      <sheetName val="NOVEMBRIS2019"/>
      <sheetName val="Decembris2019"/>
      <sheetName val="Janvāris2020"/>
      <sheetName val="DATUMI"/>
      <sheetName val="DATI"/>
      <sheetName val="SKAIT.TABELE"/>
      <sheetName val="okt.20"/>
      <sheetName val="nov.20"/>
      <sheetName val="dec.20"/>
      <sheetName val="janv.21"/>
      <sheetName val="febr.21"/>
      <sheetName val="marts.21"/>
      <sheetName val="apr.21"/>
      <sheetName val="maijs.21"/>
      <sheetName val="jūn.21"/>
      <sheetName val="jūl.21"/>
      <sheetName val="aug.21"/>
      <sheetName val="sept.21"/>
      <sheetName val="Februāris2020"/>
      <sheetName val="marts.20"/>
      <sheetName val="apr.20"/>
      <sheetName val="maijs.20"/>
      <sheetName val="jūn.20"/>
      <sheetName val="jūl.20"/>
      <sheetName val="aug.20"/>
      <sheetName val="sept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H2">
            <v>0.28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mailto:janinabobriseva57@inbox.l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AB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5" activeCellId="0" sqref="D25"/>
    </sheetView>
  </sheetViews>
  <sheetFormatPr defaultColWidth="9.14453125" defaultRowHeight="16.5" zeroHeight="false" outlineLevelRow="0" outlineLevelCol="0"/>
  <cols>
    <col collapsed="false" customWidth="true" hidden="false" outlineLevel="0" max="1" min="1" style="1" width="19.43"/>
    <col collapsed="false" customWidth="true" hidden="false" outlineLevel="0" max="2" min="2" style="1" width="11"/>
    <col collapsed="false" customWidth="true" hidden="false" outlineLevel="0" max="3" min="3" style="1" width="6.7"/>
    <col collapsed="false" customWidth="true" hidden="false" outlineLevel="0" max="4" min="4" style="1" width="10.14"/>
    <col collapsed="false" customWidth="true" hidden="false" outlineLevel="0" max="5" min="5" style="1" width="4.43"/>
    <col collapsed="false" customWidth="true" hidden="false" outlineLevel="0" max="6" min="6" style="1" width="11.85"/>
    <col collapsed="false" customWidth="true" hidden="false" outlineLevel="0" max="7" min="7" style="1" width="12.85"/>
    <col collapsed="false" customWidth="true" hidden="false" outlineLevel="0" max="10" min="8" style="1" width="9.28"/>
    <col collapsed="false" customWidth="true" hidden="false" outlineLevel="0" max="12" min="11" style="1" width="9.43"/>
    <col collapsed="false" customWidth="true" hidden="false" outlineLevel="0" max="13" min="13" style="1" width="9.28"/>
    <col collapsed="false" customWidth="true" hidden="false" outlineLevel="0" max="15" min="14" style="1" width="9.43"/>
    <col collapsed="false" customWidth="true" hidden="false" outlineLevel="0" max="16" min="16" style="1" width="9.28"/>
    <col collapsed="false" customWidth="true" hidden="false" outlineLevel="0" max="17" min="17" style="1" width="10.14"/>
    <col collapsed="false" customWidth="false" hidden="false" outlineLevel="0" max="24" min="18" style="1" width="9.14"/>
    <col collapsed="false" customWidth="true" hidden="false" outlineLevel="0" max="25" min="25" style="1" width="12.43"/>
    <col collapsed="false" customWidth="true" hidden="false" outlineLevel="0" max="26" min="26" style="1" width="10"/>
    <col collapsed="false" customWidth="true" hidden="false" outlineLevel="0" max="27" min="27" style="1" width="10.28"/>
    <col collapsed="false" customWidth="true" hidden="false" outlineLevel="0" max="28" min="28" style="1" width="12.14"/>
    <col collapsed="false" customWidth="false" hidden="false" outlineLevel="0" max="1024" min="29" style="1" width="9.14"/>
  </cols>
  <sheetData>
    <row r="1" customFormat="false" ht="17.2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F1" s="5" t="s">
        <v>4</v>
      </c>
      <c r="G1" s="6" t="s">
        <v>5</v>
      </c>
      <c r="H1" s="7" t="s">
        <v>6</v>
      </c>
      <c r="I1" s="7"/>
      <c r="J1" s="7"/>
      <c r="K1" s="7" t="s">
        <v>7</v>
      </c>
      <c r="L1" s="7"/>
      <c r="M1" s="7"/>
      <c r="N1" s="8" t="s">
        <v>8</v>
      </c>
      <c r="O1" s="8"/>
      <c r="P1" s="8"/>
      <c r="Q1" s="9"/>
      <c r="R1" s="10" t="s">
        <v>9</v>
      </c>
      <c r="S1" s="10"/>
      <c r="T1" s="10"/>
      <c r="U1" s="10" t="s">
        <v>10</v>
      </c>
      <c r="V1" s="10"/>
      <c r="W1" s="10"/>
      <c r="Y1" s="11" t="s">
        <v>4</v>
      </c>
      <c r="Z1" s="12" t="s">
        <v>11</v>
      </c>
      <c r="AA1" s="12" t="s">
        <v>12</v>
      </c>
      <c r="AB1" s="13" t="s">
        <v>13</v>
      </c>
    </row>
    <row r="2" customFormat="false" ht="17.25" hidden="false" customHeight="false" outlineLevel="0" collapsed="false">
      <c r="A2" s="14" t="s">
        <v>14</v>
      </c>
      <c r="B2" s="15" t="n">
        <v>17.21</v>
      </c>
      <c r="C2" s="16" t="n">
        <f aca="false">Z20</f>
        <v>12</v>
      </c>
      <c r="D2" s="17" t="n">
        <f aca="false">B2/C2</f>
        <v>1.43416666666667</v>
      </c>
      <c r="F2" s="5"/>
      <c r="G2" s="6"/>
      <c r="H2" s="18" t="s">
        <v>15</v>
      </c>
      <c r="I2" s="19" t="s">
        <v>16</v>
      </c>
      <c r="J2" s="20" t="s">
        <v>17</v>
      </c>
      <c r="K2" s="18" t="s">
        <v>15</v>
      </c>
      <c r="L2" s="19" t="s">
        <v>16</v>
      </c>
      <c r="M2" s="20" t="s">
        <v>17</v>
      </c>
      <c r="N2" s="21" t="s">
        <v>15</v>
      </c>
      <c r="O2" s="19" t="s">
        <v>16</v>
      </c>
      <c r="P2" s="20" t="s">
        <v>17</v>
      </c>
      <c r="Q2" s="9"/>
      <c r="Y2" s="22" t="n">
        <v>1</v>
      </c>
      <c r="Z2" s="23" t="n">
        <v>1</v>
      </c>
      <c r="AA2" s="23" t="n">
        <v>3</v>
      </c>
      <c r="AB2" s="24" t="n">
        <v>1</v>
      </c>
    </row>
    <row r="3" customFormat="false" ht="13.8" hidden="false" customHeight="false" outlineLevel="0" collapsed="false">
      <c r="A3" s="25" t="s">
        <v>12</v>
      </c>
      <c r="B3" s="26" t="n">
        <v>128.25</v>
      </c>
      <c r="C3" s="26" t="n">
        <f aca="false">AA20</f>
        <v>20</v>
      </c>
      <c r="D3" s="27" t="n">
        <f aca="false">ROUND(B3/C3,2)</f>
        <v>6.41</v>
      </c>
      <c r="F3" s="28" t="n">
        <v>1</v>
      </c>
      <c r="G3" s="29" t="s">
        <v>18</v>
      </c>
      <c r="H3" s="30" t="n">
        <v>87.866</v>
      </c>
      <c r="I3" s="30" t="n">
        <v>88.889</v>
      </c>
      <c r="J3" s="31" t="n">
        <f aca="false">ROUND(I3-H3,3)</f>
        <v>1.023</v>
      </c>
      <c r="K3" s="30" t="n">
        <v>571.525</v>
      </c>
      <c r="L3" s="30" t="n">
        <v>578.421</v>
      </c>
      <c r="M3" s="31" t="n">
        <f aca="false">ROUND(L3-K3,3)</f>
        <v>6.896</v>
      </c>
      <c r="N3" s="30" t="n">
        <v>674.261</v>
      </c>
      <c r="O3" s="30" t="n">
        <v>676.06</v>
      </c>
      <c r="P3" s="31" t="n">
        <f aca="false">ROUND(O3-N3,3)</f>
        <v>1.799</v>
      </c>
      <c r="Y3" s="32" t="n">
        <v>2</v>
      </c>
      <c r="Z3" s="33" t="n">
        <v>1</v>
      </c>
      <c r="AA3" s="33" t="n">
        <v>1</v>
      </c>
      <c r="AB3" s="34" t="n">
        <v>0</v>
      </c>
    </row>
    <row r="4" customFormat="false" ht="13.8" hidden="false" customHeight="false" outlineLevel="0" collapsed="false">
      <c r="A4" s="25" t="s">
        <v>7</v>
      </c>
      <c r="B4" s="35" t="n">
        <v>1.69</v>
      </c>
      <c r="C4" s="36" t="n">
        <v>0.21</v>
      </c>
      <c r="D4" s="27" t="n">
        <f aca="false">B4*C4+B4</f>
        <v>2.0449</v>
      </c>
      <c r="F4" s="37" t="n">
        <v>2</v>
      </c>
      <c r="G4" s="29" t="s">
        <v>19</v>
      </c>
      <c r="H4" s="38" t="n">
        <v>0</v>
      </c>
      <c r="I4" s="38" t="n">
        <v>0</v>
      </c>
      <c r="J4" s="39" t="n">
        <f aca="false">ROUND(I4-H4,3)</f>
        <v>0</v>
      </c>
      <c r="K4" s="38" t="n">
        <v>382.331</v>
      </c>
      <c r="L4" s="38" t="n">
        <v>384.016</v>
      </c>
      <c r="M4" s="39" t="n">
        <f aca="false">ROUND(L4-K4,3)</f>
        <v>1.685</v>
      </c>
      <c r="N4" s="38" t="n">
        <v>0</v>
      </c>
      <c r="O4" s="38" t="n">
        <v>0</v>
      </c>
      <c r="P4" s="39" t="n">
        <f aca="false">ROUND(O4-N4,3)</f>
        <v>0</v>
      </c>
      <c r="Y4" s="32" t="n">
        <v>3</v>
      </c>
      <c r="Z4" s="33" t="n">
        <v>1</v>
      </c>
      <c r="AA4" s="33" t="n">
        <v>1</v>
      </c>
      <c r="AB4" s="34" t="n">
        <v>0</v>
      </c>
    </row>
    <row r="5" customFormat="false" ht="13.8" hidden="false" customHeight="false" outlineLevel="0" collapsed="false">
      <c r="A5" s="25" t="s">
        <v>6</v>
      </c>
      <c r="B5" s="26" t="n">
        <v>2.39</v>
      </c>
      <c r="C5" s="36" t="n">
        <v>0.21</v>
      </c>
      <c r="D5" s="27" t="n">
        <f aca="false">B5*C5+B5</f>
        <v>2.8919</v>
      </c>
      <c r="F5" s="37" t="n">
        <v>3</v>
      </c>
      <c r="G5" s="29" t="s">
        <v>20</v>
      </c>
      <c r="H5" s="38" t="n">
        <v>0</v>
      </c>
      <c r="I5" s="38" t="n">
        <v>0</v>
      </c>
      <c r="J5" s="39" t="n">
        <f aca="false">ROUND(I5-H5,3)</f>
        <v>0</v>
      </c>
      <c r="K5" s="38" t="n">
        <v>41</v>
      </c>
      <c r="L5" s="38" t="n">
        <v>42.5</v>
      </c>
      <c r="M5" s="39" t="n">
        <f aca="false">ROUND(L5-K5,3)</f>
        <v>1.5</v>
      </c>
      <c r="N5" s="38" t="n">
        <v>0</v>
      </c>
      <c r="O5" s="38" t="n">
        <v>0</v>
      </c>
      <c r="P5" s="39" t="n">
        <f aca="false">ROUND(O5-N5,3)</f>
        <v>0</v>
      </c>
      <c r="Y5" s="32" t="n">
        <v>4</v>
      </c>
      <c r="Z5" s="33" t="n">
        <v>1</v>
      </c>
      <c r="AA5" s="33" t="n">
        <v>4</v>
      </c>
      <c r="AB5" s="34" t="n">
        <v>0</v>
      </c>
    </row>
    <row r="6" customFormat="false" ht="13.8" hidden="false" customHeight="false" outlineLevel="0" collapsed="false">
      <c r="A6" s="25" t="s">
        <v>8</v>
      </c>
      <c r="B6" s="26" t="n">
        <v>4.868</v>
      </c>
      <c r="C6" s="36" t="n">
        <v>0.21</v>
      </c>
      <c r="D6" s="27" t="n">
        <f aca="false">B6*C6+B6</f>
        <v>5.89028</v>
      </c>
      <c r="F6" s="37" t="n">
        <v>4</v>
      </c>
      <c r="G6" s="29" t="s">
        <v>21</v>
      </c>
      <c r="H6" s="38" t="n">
        <v>0</v>
      </c>
      <c r="I6" s="38" t="n">
        <v>0</v>
      </c>
      <c r="J6" s="39" t="n">
        <f aca="false">ROUND(I6-H6,3)</f>
        <v>0</v>
      </c>
      <c r="K6" s="38" t="n">
        <v>2321.999</v>
      </c>
      <c r="L6" s="38" t="n">
        <v>2334.647</v>
      </c>
      <c r="M6" s="39" t="n">
        <f aca="false">ROUND(L6-K6,3)</f>
        <v>12.648</v>
      </c>
      <c r="N6" s="38" t="n">
        <v>0</v>
      </c>
      <c r="O6" s="38" t="n">
        <v>0</v>
      </c>
      <c r="P6" s="39" t="n">
        <f aca="false">ROUND(O6-N6,3)</f>
        <v>0</v>
      </c>
      <c r="Y6" s="32" t="n">
        <v>5</v>
      </c>
      <c r="Z6" s="33" t="n">
        <v>1</v>
      </c>
      <c r="AA6" s="33" t="n">
        <v>1</v>
      </c>
      <c r="AB6" s="34" t="n">
        <v>1</v>
      </c>
    </row>
    <row r="7" customFormat="false" ht="13.8" hidden="false" customHeight="false" outlineLevel="0" collapsed="false">
      <c r="A7" s="40" t="s">
        <v>22</v>
      </c>
      <c r="B7" s="41" t="n">
        <v>14.05</v>
      </c>
      <c r="C7" s="41" t="n">
        <f aca="false">AB20</f>
        <v>8</v>
      </c>
      <c r="D7" s="42" t="n">
        <f aca="false">ROUND(B7/C7,2)</f>
        <v>1.76</v>
      </c>
      <c r="F7" s="37" t="n">
        <v>5</v>
      </c>
      <c r="G7" s="29" t="s">
        <v>23</v>
      </c>
      <c r="H7" s="38" t="n">
        <v>0</v>
      </c>
      <c r="I7" s="38" t="n">
        <v>0</v>
      </c>
      <c r="J7" s="39" t="n">
        <f aca="false">ROUND(I7-H7,3)</f>
        <v>0</v>
      </c>
      <c r="K7" s="38" t="n">
        <v>270.3</v>
      </c>
      <c r="L7" s="38" t="n">
        <v>273.3</v>
      </c>
      <c r="M7" s="39" t="n">
        <f aca="false">ROUND(L7-K7,3)</f>
        <v>3</v>
      </c>
      <c r="N7" s="38" t="n">
        <v>344.735</v>
      </c>
      <c r="O7" s="38" t="n">
        <v>345.235</v>
      </c>
      <c r="P7" s="39" t="n">
        <f aca="false">ROUND(O7-N7,3)</f>
        <v>0.5</v>
      </c>
      <c r="Y7" s="32" t="n">
        <v>6</v>
      </c>
      <c r="Z7" s="33" t="n">
        <v>0</v>
      </c>
      <c r="AA7" s="33" t="n">
        <v>0</v>
      </c>
      <c r="AB7" s="34" t="n">
        <v>1</v>
      </c>
    </row>
    <row r="8" customFormat="false" ht="13.8" hidden="false" customHeight="false" outlineLevel="0" collapsed="false">
      <c r="D8" s="43"/>
      <c r="F8" s="37" t="n">
        <v>6</v>
      </c>
      <c r="G8" s="29" t="s">
        <v>24</v>
      </c>
      <c r="H8" s="38" t="n">
        <v>0</v>
      </c>
      <c r="I8" s="38" t="n">
        <v>0</v>
      </c>
      <c r="J8" s="39" t="n">
        <f aca="false">ROUND(I8-H8,3)</f>
        <v>0</v>
      </c>
      <c r="K8" s="38" t="n">
        <v>447</v>
      </c>
      <c r="L8" s="38" t="n">
        <v>447</v>
      </c>
      <c r="M8" s="39" t="n">
        <f aca="false">ROUND(L8-K8,3)</f>
        <v>0</v>
      </c>
      <c r="N8" s="38" t="n">
        <v>1505.985</v>
      </c>
      <c r="O8" s="38" t="n">
        <v>1505.985</v>
      </c>
      <c r="P8" s="39" t="n">
        <f aca="false">ROUND(O8-N8,3)</f>
        <v>0</v>
      </c>
      <c r="Y8" s="32" t="n">
        <v>7</v>
      </c>
      <c r="Z8" s="33" t="n">
        <v>1</v>
      </c>
      <c r="AA8" s="33" t="n">
        <v>1</v>
      </c>
      <c r="AB8" s="34" t="n">
        <v>1</v>
      </c>
    </row>
    <row r="9" customFormat="false" ht="13.8" hidden="false" customHeight="false" outlineLevel="0" collapsed="false">
      <c r="A9" s="44" t="s">
        <v>25</v>
      </c>
      <c r="B9" s="45" t="n">
        <v>46014</v>
      </c>
      <c r="F9" s="37" t="n">
        <v>7</v>
      </c>
      <c r="G9" s="29" t="s">
        <v>26</v>
      </c>
      <c r="H9" s="38" t="n">
        <v>0</v>
      </c>
      <c r="I9" s="38" t="n">
        <v>0</v>
      </c>
      <c r="J9" s="39" t="n">
        <f aca="false">ROUND(I9-H9,3)</f>
        <v>0</v>
      </c>
      <c r="K9" s="38" t="n">
        <v>273.447</v>
      </c>
      <c r="L9" s="38" t="n">
        <v>275.043</v>
      </c>
      <c r="M9" s="39" t="n">
        <f aca="false">ROUND(L9-K9,3)</f>
        <v>1.596</v>
      </c>
      <c r="N9" s="38" t="n">
        <v>522.78</v>
      </c>
      <c r="O9" s="38" t="n">
        <v>523.63</v>
      </c>
      <c r="P9" s="39" t="n">
        <f aca="false">ROUND(O9-N9,3)</f>
        <v>0.85</v>
      </c>
      <c r="Y9" s="32" t="n">
        <v>8</v>
      </c>
      <c r="Z9" s="33" t="n">
        <v>1</v>
      </c>
      <c r="AA9" s="33" t="n">
        <v>0</v>
      </c>
      <c r="AB9" s="34" t="n">
        <v>1</v>
      </c>
    </row>
    <row r="10" customFormat="false" ht="13.8" hidden="false" customHeight="false" outlineLevel="0" collapsed="false">
      <c r="A10" s="44" t="s">
        <v>27</v>
      </c>
      <c r="B10" s="45" t="n">
        <f aca="false">B9+14</f>
        <v>46028</v>
      </c>
      <c r="F10" s="37" t="n">
        <v>8</v>
      </c>
      <c r="G10" s="29" t="s">
        <v>28</v>
      </c>
      <c r="H10" s="38" t="n">
        <v>0</v>
      </c>
      <c r="I10" s="38" t="n">
        <v>0</v>
      </c>
      <c r="J10" s="39" t="n">
        <f aca="false">ROUND(I10-H10,3)</f>
        <v>0</v>
      </c>
      <c r="K10" s="38" t="n">
        <v>206.814</v>
      </c>
      <c r="L10" s="38" t="n">
        <v>206.814</v>
      </c>
      <c r="M10" s="39" t="n">
        <f aca="false">ROUND(L10-K10,3)</f>
        <v>0</v>
      </c>
      <c r="N10" s="38" t="n">
        <v>399.5</v>
      </c>
      <c r="O10" s="38" t="n">
        <v>399.5</v>
      </c>
      <c r="P10" s="39" t="n">
        <f aca="false">ROUND(O10-N10,3)</f>
        <v>0</v>
      </c>
      <c r="Y10" s="32" t="n">
        <v>9</v>
      </c>
      <c r="Z10" s="33" t="n">
        <v>1</v>
      </c>
      <c r="AA10" s="33" t="n">
        <v>3</v>
      </c>
      <c r="AB10" s="34" t="n">
        <v>1</v>
      </c>
    </row>
    <row r="11" customFormat="false" ht="13.8" hidden="false" customHeight="false" outlineLevel="0" collapsed="false">
      <c r="F11" s="37" t="n">
        <v>9</v>
      </c>
      <c r="G11" s="29" t="s">
        <v>29</v>
      </c>
      <c r="H11" s="38" t="n">
        <v>0</v>
      </c>
      <c r="I11" s="38" t="n">
        <v>0</v>
      </c>
      <c r="J11" s="39" t="n">
        <f aca="false">ROUND(I11-H11,3)</f>
        <v>0</v>
      </c>
      <c r="K11" s="38" t="n">
        <v>346</v>
      </c>
      <c r="L11" s="38" t="n">
        <v>348</v>
      </c>
      <c r="M11" s="39" t="n">
        <f aca="false">ROUND(L11-K11,3)</f>
        <v>2</v>
      </c>
      <c r="N11" s="38" t="n">
        <v>936</v>
      </c>
      <c r="O11" s="38" t="n">
        <v>937</v>
      </c>
      <c r="P11" s="39" t="n">
        <f aca="false">ROUND(O11-N11,3)</f>
        <v>1</v>
      </c>
      <c r="Y11" s="32" t="n">
        <v>10</v>
      </c>
      <c r="Z11" s="33" t="n">
        <v>0</v>
      </c>
      <c r="AA11" s="33" t="n">
        <v>0</v>
      </c>
      <c r="AB11" s="34" t="n">
        <v>0</v>
      </c>
    </row>
    <row r="12" customFormat="false" ht="13.8" hidden="false" customHeight="false" outlineLevel="0" collapsed="false">
      <c r="F12" s="37" t="n">
        <v>10</v>
      </c>
      <c r="G12" s="29" t="s">
        <v>30</v>
      </c>
      <c r="H12" s="38" t="n">
        <v>0.136</v>
      </c>
      <c r="I12" s="38" t="n">
        <v>0.136</v>
      </c>
      <c r="J12" s="39" t="n">
        <f aca="false">ROUND(I12-H12,3)</f>
        <v>0</v>
      </c>
      <c r="K12" s="38" t="n">
        <v>1.868</v>
      </c>
      <c r="L12" s="38" t="n">
        <v>1.868</v>
      </c>
      <c r="M12" s="39" t="n">
        <f aca="false">ROUND(L12-K12,3)</f>
        <v>0</v>
      </c>
      <c r="N12" s="38" t="n">
        <v>169</v>
      </c>
      <c r="O12" s="38" t="n">
        <v>169</v>
      </c>
      <c r="P12" s="39" t="n">
        <f aca="false">ROUND(O12-N12,3)</f>
        <v>0</v>
      </c>
      <c r="Y12" s="32" t="n">
        <v>11</v>
      </c>
      <c r="Z12" s="33" t="n">
        <v>0</v>
      </c>
      <c r="AA12" s="33" t="n">
        <v>0</v>
      </c>
      <c r="AB12" s="34" t="n">
        <v>0</v>
      </c>
    </row>
    <row r="13" customFormat="false" ht="13.8" hidden="false" customHeight="false" outlineLevel="0" collapsed="false">
      <c r="F13" s="37" t="n">
        <v>11</v>
      </c>
      <c r="G13" s="29" t="s">
        <v>31</v>
      </c>
      <c r="H13" s="38" t="n">
        <v>0</v>
      </c>
      <c r="I13" s="38" t="n">
        <v>0</v>
      </c>
      <c r="J13" s="39" t="n">
        <f aca="false">ROUND(I13-H13,3)</f>
        <v>0</v>
      </c>
      <c r="K13" s="38" t="n">
        <v>78</v>
      </c>
      <c r="L13" s="38" t="n">
        <v>78</v>
      </c>
      <c r="M13" s="39" t="n">
        <f aca="false">ROUND(L13-K13,3)</f>
        <v>0</v>
      </c>
      <c r="N13" s="38" t="n">
        <v>0</v>
      </c>
      <c r="O13" s="38" t="n">
        <v>0</v>
      </c>
      <c r="P13" s="39" t="n">
        <f aca="false">ROUND(O13-N13,3)</f>
        <v>0</v>
      </c>
      <c r="Y13" s="32" t="n">
        <v>12</v>
      </c>
      <c r="Z13" s="33" t="n">
        <v>1</v>
      </c>
      <c r="AA13" s="33" t="n">
        <v>1</v>
      </c>
      <c r="AB13" s="34" t="n">
        <v>1</v>
      </c>
    </row>
    <row r="14" customFormat="false" ht="13.8" hidden="false" customHeight="false" outlineLevel="0" collapsed="false">
      <c r="F14" s="37" t="n">
        <v>12</v>
      </c>
      <c r="G14" s="29" t="s">
        <v>32</v>
      </c>
      <c r="H14" s="38" t="n">
        <v>0</v>
      </c>
      <c r="I14" s="38" t="n">
        <v>0</v>
      </c>
      <c r="J14" s="39" t="n">
        <f aca="false">ROUND(I14-H14,3)</f>
        <v>0</v>
      </c>
      <c r="K14" s="38" t="n">
        <v>1757</v>
      </c>
      <c r="L14" s="38" t="n">
        <v>1763</v>
      </c>
      <c r="M14" s="39" t="n">
        <f aca="false">ROUND(L14-K14,3)</f>
        <v>6</v>
      </c>
      <c r="N14" s="38" t="n">
        <v>849</v>
      </c>
      <c r="O14" s="38" t="n">
        <v>851</v>
      </c>
      <c r="P14" s="39" t="n">
        <f aca="false">ROUND(O14-N14,3)</f>
        <v>2</v>
      </c>
      <c r="Y14" s="32" t="n">
        <v>13</v>
      </c>
      <c r="Z14" s="33" t="n">
        <v>1</v>
      </c>
      <c r="AA14" s="33" t="n">
        <v>3</v>
      </c>
      <c r="AB14" s="34" t="n">
        <v>0</v>
      </c>
    </row>
    <row r="15" customFormat="false" ht="13.8" hidden="false" customHeight="false" outlineLevel="0" collapsed="false">
      <c r="F15" s="37" t="n">
        <v>13</v>
      </c>
      <c r="G15" s="29" t="s">
        <v>33</v>
      </c>
      <c r="H15" s="38" t="n">
        <v>289.972</v>
      </c>
      <c r="I15" s="38" t="n">
        <v>294.972</v>
      </c>
      <c r="J15" s="39" t="n">
        <f aca="false">ROUND(I15-H15,3)</f>
        <v>5</v>
      </c>
      <c r="K15" s="38" t="n">
        <v>324.62</v>
      </c>
      <c r="L15" s="38" t="n">
        <v>325.62</v>
      </c>
      <c r="M15" s="39" t="n">
        <f aca="false">ROUND(L15-K15,3)</f>
        <v>1</v>
      </c>
      <c r="N15" s="38" t="n">
        <v>331.827</v>
      </c>
      <c r="O15" s="38" t="n">
        <v>331.827</v>
      </c>
      <c r="P15" s="39" t="n">
        <f aca="false">ROUND(O15-N15,3)</f>
        <v>0</v>
      </c>
      <c r="Y15" s="32" t="n">
        <v>14</v>
      </c>
      <c r="Z15" s="33" t="n">
        <v>0</v>
      </c>
      <c r="AA15" s="33" t="n">
        <v>0</v>
      </c>
      <c r="AB15" s="34" t="n">
        <v>0</v>
      </c>
    </row>
    <row r="16" customFormat="false" ht="13.8" hidden="false" customHeight="false" outlineLevel="0" collapsed="false">
      <c r="F16" s="37" t="n">
        <v>14</v>
      </c>
      <c r="G16" s="29" t="s">
        <v>34</v>
      </c>
      <c r="H16" s="38" t="n">
        <v>0</v>
      </c>
      <c r="I16" s="38" t="n">
        <v>0</v>
      </c>
      <c r="J16" s="39" t="n">
        <f aca="false">ROUND(I16-H16,3)</f>
        <v>0</v>
      </c>
      <c r="K16" s="38" t="n">
        <v>189</v>
      </c>
      <c r="L16" s="38" t="n">
        <v>189</v>
      </c>
      <c r="M16" s="39" t="n">
        <f aca="false">ROUND(L16-K16,3)</f>
        <v>0</v>
      </c>
      <c r="N16" s="38" t="n">
        <v>218</v>
      </c>
      <c r="O16" s="38" t="n">
        <v>218</v>
      </c>
      <c r="P16" s="39" t="n">
        <f aca="false">ROUND(O16-N16,3)</f>
        <v>0</v>
      </c>
      <c r="Y16" s="32" t="n">
        <v>15</v>
      </c>
      <c r="Z16" s="33" t="n">
        <v>0</v>
      </c>
      <c r="AA16" s="33" t="n">
        <v>0</v>
      </c>
      <c r="AB16" s="34" t="n">
        <v>0</v>
      </c>
    </row>
    <row r="17" customFormat="false" ht="13.8" hidden="false" customHeight="false" outlineLevel="0" collapsed="false">
      <c r="F17" s="37" t="n">
        <v>15</v>
      </c>
      <c r="G17" s="29" t="s">
        <v>35</v>
      </c>
      <c r="H17" s="38" t="n">
        <v>0</v>
      </c>
      <c r="I17" s="38" t="n">
        <v>0</v>
      </c>
      <c r="J17" s="39" t="n">
        <f aca="false">ROUND(I17-H17,3)</f>
        <v>0</v>
      </c>
      <c r="K17" s="38" t="n">
        <v>0</v>
      </c>
      <c r="L17" s="38" t="n">
        <v>0</v>
      </c>
      <c r="M17" s="39" t="n">
        <f aca="false">ROUND(L17-K17,3)</f>
        <v>0</v>
      </c>
      <c r="N17" s="38" t="n">
        <v>0</v>
      </c>
      <c r="O17" s="38" t="n">
        <v>0</v>
      </c>
      <c r="P17" s="39" t="n">
        <f aca="false">ROUND(O17-N17,3)</f>
        <v>0</v>
      </c>
      <c r="Y17" s="32" t="n">
        <v>16</v>
      </c>
      <c r="Z17" s="33" t="n">
        <v>1</v>
      </c>
      <c r="AA17" s="33" t="n">
        <v>1</v>
      </c>
      <c r="AB17" s="34" t="n">
        <v>1</v>
      </c>
    </row>
    <row r="18" customFormat="false" ht="13.8" hidden="false" customHeight="false" outlineLevel="0" collapsed="false">
      <c r="F18" s="37" t="n">
        <v>16</v>
      </c>
      <c r="G18" s="29" t="s">
        <v>36</v>
      </c>
      <c r="H18" s="38" t="n">
        <v>0</v>
      </c>
      <c r="I18" s="38" t="n">
        <v>0</v>
      </c>
      <c r="J18" s="39" t="n">
        <f aca="false">ROUND(I18-H18,3)</f>
        <v>0</v>
      </c>
      <c r="K18" s="38" t="n">
        <v>751</v>
      </c>
      <c r="L18" s="38" t="n">
        <v>755</v>
      </c>
      <c r="M18" s="39" t="n">
        <f aca="false">ROUND(L18-K18,3)</f>
        <v>4</v>
      </c>
      <c r="N18" s="38" t="n">
        <v>337</v>
      </c>
      <c r="O18" s="38" t="n">
        <v>338</v>
      </c>
      <c r="P18" s="39" t="n">
        <f aca="false">ROUND(O18-N18,3)</f>
        <v>1</v>
      </c>
      <c r="Y18" s="32" t="n">
        <v>17</v>
      </c>
      <c r="Z18" s="33" t="n">
        <v>1</v>
      </c>
      <c r="AA18" s="33" t="n">
        <v>1</v>
      </c>
      <c r="AB18" s="34" t="n">
        <v>0</v>
      </c>
    </row>
    <row r="19" customFormat="false" ht="13.8" hidden="false" customHeight="false" outlineLevel="0" collapsed="false">
      <c r="F19" s="37" t="n">
        <v>17</v>
      </c>
      <c r="G19" s="29" t="s">
        <v>37</v>
      </c>
      <c r="H19" s="38" t="n">
        <v>0</v>
      </c>
      <c r="I19" s="38" t="n">
        <v>0</v>
      </c>
      <c r="J19" s="39" t="n">
        <f aca="false">ROUND(I19-H19,3)</f>
        <v>0</v>
      </c>
      <c r="K19" s="38" t="n">
        <v>547.3</v>
      </c>
      <c r="L19" s="38" t="n">
        <v>549.8</v>
      </c>
      <c r="M19" s="39" t="n">
        <f aca="false">ROUND(L19-K19,3)</f>
        <v>2.5</v>
      </c>
      <c r="N19" s="38" t="n">
        <v>0</v>
      </c>
      <c r="O19" s="38" t="n">
        <v>0</v>
      </c>
      <c r="P19" s="39" t="n">
        <f aca="false">ROUND(O19-N19,3)</f>
        <v>0</v>
      </c>
      <c r="Y19" s="46" t="n">
        <v>18</v>
      </c>
      <c r="Z19" s="47" t="n">
        <v>0</v>
      </c>
      <c r="AA19" s="47" t="n">
        <v>0</v>
      </c>
      <c r="AB19" s="48" t="n">
        <v>0</v>
      </c>
    </row>
    <row r="20" customFormat="false" ht="13.8" hidden="false" customHeight="false" outlineLevel="0" collapsed="false">
      <c r="F20" s="49" t="n">
        <v>18</v>
      </c>
      <c r="G20" s="29" t="s">
        <v>38</v>
      </c>
      <c r="H20" s="50" t="n">
        <v>0</v>
      </c>
      <c r="I20" s="50" t="n">
        <v>0</v>
      </c>
      <c r="J20" s="51" t="n">
        <f aca="false">ROUND(I20-H20,3)</f>
        <v>0</v>
      </c>
      <c r="K20" s="52" t="n">
        <v>57.09</v>
      </c>
      <c r="L20" s="52" t="n">
        <v>57.09</v>
      </c>
      <c r="M20" s="51" t="n">
        <f aca="false">ROUND(L20-K20,3)</f>
        <v>0</v>
      </c>
      <c r="N20" s="52" t="n">
        <v>249.5</v>
      </c>
      <c r="O20" s="52" t="n">
        <v>249.5</v>
      </c>
      <c r="P20" s="51" t="n">
        <f aca="false">ROUND(O20-N20,3)</f>
        <v>0</v>
      </c>
      <c r="Y20" s="53" t="s">
        <v>39</v>
      </c>
      <c r="Z20" s="12" t="n">
        <f aca="false">SUM(Z2:Z19)</f>
        <v>12</v>
      </c>
      <c r="AA20" s="12" t="n">
        <f aca="false">SUM(AA2:AA19)</f>
        <v>20</v>
      </c>
      <c r="AB20" s="13" t="n">
        <f aca="false">SUM(AB2:AB19)</f>
        <v>8</v>
      </c>
    </row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</sheetData>
  <mergeCells count="6">
    <mergeCell ref="F1:F2"/>
    <mergeCell ref="G1:G2"/>
    <mergeCell ref="H1:J1"/>
    <mergeCell ref="K1:M1"/>
    <mergeCell ref="N1:P1"/>
    <mergeCell ref="Q1:Q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6"/>
  <sheetViews>
    <sheetView showFormulas="false" showGridLines="true" showRowColHeaders="true" showZeros="true" rightToLeft="false" tabSelected="true" showOutlineSymbols="true" defaultGridColor="true" view="normal" topLeftCell="A16" colorId="64" zoomScale="85" zoomScaleNormal="85" zoomScalePageLayoutView="100" workbookViewId="0">
      <selection pane="topLeft" activeCell="G53" activeCellId="0" sqref="G53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2.28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Dati!G3</f>
        <v>DEC2025/01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48</v>
      </c>
    </row>
    <row r="9" customFormat="false" ht="16.5" hidden="false" customHeight="false" outlineLevel="0" collapsed="false">
      <c r="C9" s="54" t="s">
        <v>49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52</v>
      </c>
      <c r="I15" s="68" t="n">
        <f aca="false">ROUND(F15*H15,2)</f>
        <v>14.56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Dati!AA2</f>
        <v>3</v>
      </c>
      <c r="I16" s="68" t="n">
        <f aca="false">ROUND(F16*H16,2)</f>
        <v>19.23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Dati!J3+Dati!M3</f>
        <v>7.919</v>
      </c>
      <c r="I17" s="68" t="n">
        <f aca="false">ROUND(F17*H17,2)</f>
        <v>22.9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Dati!J3+Dati!M3</f>
        <v>7.919</v>
      </c>
      <c r="I18" s="68" t="n">
        <f aca="false">ROUND(F18*H18,2)</f>
        <v>16.19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Dati!AB2</f>
        <v>1</v>
      </c>
      <c r="I19" s="68" t="n">
        <f aca="false">ROUND(F19*H19,2)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Dati!P3</f>
        <v>1.799</v>
      </c>
      <c r="I20" s="68" t="n">
        <f aca="false">ROUND(F20*H20,2)</f>
        <v>10.6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Dati!Z2</f>
        <v>1</v>
      </c>
      <c r="I21" s="68" t="n">
        <f aca="false">ROUND(F21*H21,2)</f>
        <v>1.43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86.67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G27" s="62" t="s">
        <v>61</v>
      </c>
      <c r="H27" s="62"/>
      <c r="I27" s="74" t="n">
        <f aca="false">ROUND(I24-I25+I26,2)</f>
        <v>86.67</v>
      </c>
    </row>
    <row r="28" customFormat="false" ht="16.5" hidden="false" customHeight="false" outlineLevel="0" collapsed="false">
      <c r="A28" s="70"/>
      <c r="B28" s="70"/>
      <c r="C28" s="70"/>
      <c r="D28" s="70"/>
      <c r="E28" s="70"/>
      <c r="F28" s="70"/>
      <c r="G28" s="70"/>
      <c r="H28" s="70"/>
      <c r="I28" s="70"/>
      <c r="J28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78" t="s">
        <v>62</v>
      </c>
      <c r="G30" s="78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Dati!H3</f>
        <v>87.866</v>
      </c>
      <c r="G31" s="80" t="n">
        <f aca="false">Dati!I3</f>
        <v>88.889</v>
      </c>
      <c r="H31" s="81" t="n">
        <f aca="false">Dati!J3</f>
        <v>1.023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Dati!K3</f>
        <v>571.525</v>
      </c>
      <c r="G32" s="80" t="n">
        <f aca="false">Dati!L3</f>
        <v>578.421</v>
      </c>
      <c r="H32" s="81" t="n">
        <f aca="false">Dati!M3</f>
        <v>6.896</v>
      </c>
    </row>
    <row r="33" customFormat="false" ht="16.5" hidden="false" customHeight="false" outlineLevel="0" collapsed="false">
      <c r="B33" s="72"/>
      <c r="C33" s="77"/>
      <c r="D33" s="77" t="s">
        <v>66</v>
      </c>
      <c r="E33" s="77"/>
      <c r="F33" s="80" t="n">
        <f aca="false">Dati!N3</f>
        <v>674.261</v>
      </c>
      <c r="G33" s="80" t="n">
        <f aca="false">Dati!O3</f>
        <v>676.06</v>
      </c>
      <c r="H33" s="81" t="n">
        <f aca="false">Dati!P3</f>
        <v>1.799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83"/>
      <c r="B37" s="83"/>
      <c r="C37" s="83"/>
      <c r="D37" s="83"/>
      <c r="E37" s="83"/>
      <c r="F37" s="83"/>
      <c r="G37" s="83"/>
      <c r="H37" s="83"/>
      <c r="I37" s="83"/>
      <c r="J37" s="83"/>
    </row>
    <row r="38" customFormat="false" ht="16.5" hidden="false" customHeight="true" outlineLevel="0" collapsed="false">
      <c r="A38" s="83"/>
      <c r="B38" s="83"/>
      <c r="C38" s="83"/>
      <c r="D38" s="83"/>
      <c r="E38" s="83"/>
      <c r="F38" s="83"/>
      <c r="G38" s="83"/>
      <c r="H38" s="83"/>
      <c r="I38" s="83"/>
      <c r="J38" s="83"/>
    </row>
    <row r="39" customFormat="false" ht="15" hidden="false" customHeight="true" outlineLevel="0" collapsed="false">
      <c r="A39" s="83"/>
      <c r="B39" s="83"/>
      <c r="C39" s="83"/>
      <c r="D39" s="83"/>
      <c r="E39" s="83"/>
      <c r="F39" s="83"/>
      <c r="G39" s="83"/>
      <c r="H39" s="83"/>
      <c r="I39" s="83"/>
      <c r="J39" s="83"/>
    </row>
    <row r="40" customFormat="false" ht="15" hidden="false" customHeight="true" outlineLevel="0" collapsed="false">
      <c r="A40" s="83"/>
      <c r="B40" s="83"/>
      <c r="C40" s="83"/>
      <c r="D40" s="83"/>
      <c r="E40" s="83"/>
      <c r="F40" s="83"/>
      <c r="G40" s="83"/>
      <c r="H40" s="83"/>
      <c r="I40" s="83"/>
      <c r="J40" s="83"/>
    </row>
    <row r="41" customFormat="false" ht="16.5" hidden="false" customHeight="true" outlineLevel="0" collapsed="false">
      <c r="A41" s="83"/>
      <c r="B41" s="83"/>
      <c r="C41" s="83"/>
      <c r="D41" s="83"/>
      <c r="E41" s="83"/>
      <c r="F41" s="83"/>
      <c r="G41" s="83"/>
      <c r="H41" s="83"/>
      <c r="I41" s="83"/>
      <c r="J41" s="83"/>
    </row>
    <row r="42" customFormat="false" ht="17.25" hidden="false" customHeight="false" outlineLevel="0" collapsed="false">
      <c r="A42" s="83"/>
      <c r="B42" s="83"/>
      <c r="C42" s="83"/>
      <c r="D42" s="83"/>
      <c r="E42" s="83"/>
      <c r="F42" s="83"/>
      <c r="G42" s="83"/>
      <c r="H42" s="83"/>
      <c r="I42" s="83"/>
      <c r="J42" s="83"/>
    </row>
    <row r="43" customFormat="false" ht="16.5" hidden="false" customHeight="false" outlineLevel="0" collapsed="false">
      <c r="G43" s="84"/>
    </row>
    <row r="44" customFormat="false" ht="16.5" hidden="false" customHeight="false" outlineLevel="0" collapsed="false">
      <c r="A44" s="58" t="s">
        <v>68</v>
      </c>
      <c r="C44" s="58" t="s">
        <v>69</v>
      </c>
      <c r="G44" s="84"/>
      <c r="H44" s="85" t="s">
        <v>70</v>
      </c>
      <c r="I44" s="86" t="n">
        <v>29530007</v>
      </c>
      <c r="J44" s="86"/>
    </row>
    <row r="45" customFormat="false" ht="16.5" hidden="false" customHeight="false" outlineLevel="0" collapsed="false">
      <c r="A45" s="54" t="s">
        <v>71</v>
      </c>
      <c r="C45" s="54" t="s">
        <v>72</v>
      </c>
      <c r="G45" s="84"/>
      <c r="H45" s="85" t="s">
        <v>73</v>
      </c>
    </row>
    <row r="46" customFormat="false" ht="16.5" hidden="false" customHeight="false" outlineLevel="0" collapsed="false">
      <c r="G46" s="84"/>
      <c r="J46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6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2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Dati!G4</f>
        <v>DEC2025/02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75</v>
      </c>
    </row>
    <row r="9" customFormat="false" ht="16.5" hidden="false" customHeight="false" outlineLevel="0" collapsed="false">
      <c r="C9" s="54" t="s">
        <v>76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33</v>
      </c>
      <c r="I15" s="68" t="n">
        <f aca="false">ROUND(F15*H15,2)</f>
        <v>9.24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Dati!AA3</f>
        <v>1</v>
      </c>
      <c r="I16" s="68" t="n">
        <f aca="false">ROUND(F16*H16,2)</f>
        <v>6.41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Dati!J4+Dati!M4</f>
        <v>1.685</v>
      </c>
      <c r="I17" s="68" t="n">
        <f aca="false">F17*H17</f>
        <v>4.8728515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Dati!J4+Dati!M4</f>
        <v>1.685</v>
      </c>
      <c r="I18" s="68" t="n">
        <f aca="false">F18*H18</f>
        <v>3.4456565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Dati!AB3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Dati!N4+Dati!O4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Dati!Z3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25.4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25.4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Dati!H4</f>
        <v>0</v>
      </c>
      <c r="G31" s="80" t="n">
        <f aca="false">Dati!I4</f>
        <v>0</v>
      </c>
      <c r="H31" s="81" t="n">
        <f aca="false">Dati!J4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Dati!K4</f>
        <v>382.331</v>
      </c>
      <c r="G32" s="80" t="n">
        <f aca="false">Dati!L4</f>
        <v>384.016</v>
      </c>
      <c r="H32" s="81" t="n">
        <f aca="false">Dati!M4</f>
        <v>1.685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Dati!N4</f>
        <v>0</v>
      </c>
      <c r="G33" s="81" t="n">
        <f aca="false">Dati!O4</f>
        <v>0</v>
      </c>
      <c r="H33" s="81" t="n">
        <f aca="false">Dati!P4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Dati!G5</f>
        <v>DEC2025/03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40</v>
      </c>
    </row>
    <row r="9" customFormat="false" ht="16.5" hidden="false" customHeight="false" outlineLevel="0" collapsed="false">
      <c r="C9" s="54" t="s">
        <v>44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69</v>
      </c>
      <c r="I15" s="68" t="n">
        <f aca="false">ROUND(F15*H15,2)</f>
        <v>19.32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Dati!AA4</f>
        <v>1</v>
      </c>
      <c r="I16" s="68" t="n">
        <f aca="false">ROUND(F16*H16,2)</f>
        <v>6.41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Dati!J5+Dati!M5</f>
        <v>1.5</v>
      </c>
      <c r="I17" s="68" t="n">
        <f aca="false">F17*H17</f>
        <v>4.33785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Dati!J5+Dati!M5</f>
        <v>1.5</v>
      </c>
      <c r="I18" s="68" t="n">
        <f aca="false">F18*H18</f>
        <v>3.06735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Dati!AB4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Dati!P5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Dati!Z4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34.57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34.57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Dati!H5</f>
        <v>0</v>
      </c>
      <c r="G31" s="80" t="n">
        <f aca="false">Dati!I5</f>
        <v>0</v>
      </c>
      <c r="H31" s="81" t="n">
        <f aca="false">Dati!J5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Dati!K5</f>
        <v>41</v>
      </c>
      <c r="G32" s="80" t="n">
        <f aca="false">Dati!L5</f>
        <v>42.5</v>
      </c>
      <c r="H32" s="81" t="n">
        <f aca="false">Dati!M5</f>
        <v>1.5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Dati!N5</f>
        <v>0</v>
      </c>
      <c r="G33" s="81" t="n">
        <f aca="false">Dati!O5</f>
        <v>0</v>
      </c>
      <c r="H33" s="81" t="n">
        <f aca="false">Dati!P5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2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Dati!G6</f>
        <v>DEC2025/04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77</v>
      </c>
    </row>
    <row r="9" customFormat="false" ht="16.5" hidden="false" customHeight="false" outlineLevel="0" collapsed="false">
      <c r="C9" s="54" t="s">
        <v>78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52</v>
      </c>
      <c r="I15" s="68" t="n">
        <f aca="false">ROUND(F15*H15,2)</f>
        <v>14.56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Dati!AA5</f>
        <v>4</v>
      </c>
      <c r="I16" s="68" t="n">
        <f aca="false">ROUND(F16*H16,2)</f>
        <v>25.64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Dati!J6+Dati!M6</f>
        <v>12.648</v>
      </c>
      <c r="I17" s="68" t="n">
        <f aca="false">F17*H17</f>
        <v>36.5767512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Dati!J6+Dati!M6</f>
        <v>12.648</v>
      </c>
      <c r="I18" s="68" t="n">
        <f aca="false">F18*H18</f>
        <v>25.8638952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Dati!AB5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Dati!P6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Dati!Z5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104.07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104.07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Dati!H6</f>
        <v>0</v>
      </c>
      <c r="G31" s="80" t="n">
        <f aca="false">Dati!I6</f>
        <v>0</v>
      </c>
      <c r="H31" s="81" t="n">
        <f aca="false">Dati!J6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Dati!K6</f>
        <v>2321.999</v>
      </c>
      <c r="G32" s="80" t="n">
        <f aca="false">Dati!L6</f>
        <v>2334.647</v>
      </c>
      <c r="H32" s="81" t="n">
        <f aca="false">Dati!M6</f>
        <v>12.648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Dati!N6</f>
        <v>0</v>
      </c>
      <c r="G33" s="81" t="n">
        <f aca="false">Dati!O6</f>
        <v>0</v>
      </c>
      <c r="H33" s="81" t="n">
        <f aca="false">Dati!P6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2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Dati!G7</f>
        <v>DEC2025/05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79</v>
      </c>
    </row>
    <row r="9" customFormat="false" ht="16.5" hidden="false" customHeight="false" outlineLevel="0" collapsed="false">
      <c r="C9" s="54" t="s">
        <v>80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33</v>
      </c>
      <c r="I15" s="68" t="n">
        <f aca="false">ROUND(F15*H15,2)</f>
        <v>9.24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Dati!AA6</f>
        <v>1</v>
      </c>
      <c r="I16" s="68" t="n">
        <f aca="false">ROUND(F16*H16,2)</f>
        <v>6.41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Dati!J7+Dati!M7</f>
        <v>3</v>
      </c>
      <c r="I17" s="68" t="n">
        <f aca="false">F17*H17</f>
        <v>8.6757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Dati!J7+Dati!M7</f>
        <v>3</v>
      </c>
      <c r="I18" s="68" t="n">
        <f aca="false">F18*H18</f>
        <v>6.1347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Dati!AB6</f>
        <v>1</v>
      </c>
      <c r="I19" s="68" t="n">
        <f aca="false">F19*H19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Dati!P7</f>
        <v>0.5</v>
      </c>
      <c r="I20" s="68" t="n">
        <f aca="false">F20*H20</f>
        <v>2.94514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Dati!Z6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36.6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36.6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Dati!H7</f>
        <v>0</v>
      </c>
      <c r="G31" s="80" t="n">
        <f aca="false">Dati!I7</f>
        <v>0</v>
      </c>
      <c r="H31" s="81" t="n">
        <f aca="false">Dati!J7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Dati!K7</f>
        <v>270.3</v>
      </c>
      <c r="G32" s="80" t="n">
        <f aca="false">Dati!L7</f>
        <v>273.3</v>
      </c>
      <c r="H32" s="81" t="n">
        <f aca="false">Dati!M7</f>
        <v>3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Dati!N7</f>
        <v>344.735</v>
      </c>
      <c r="G33" s="81" t="n">
        <f aca="false">Dati!O7</f>
        <v>345.235</v>
      </c>
      <c r="H33" s="81" t="n">
        <f aca="false">Dati!P7</f>
        <v>0.5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2" colorId="64" zoomScale="85" zoomScaleNormal="85" zoomScalePageLayoutView="100" workbookViewId="0">
      <selection pane="topLeft" activeCell="H17" activeCellId="0" sqref="H17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Dati!G8</f>
        <v>DEC2025/06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81</v>
      </c>
    </row>
    <row r="9" customFormat="false" ht="16.5" hidden="false" customHeight="false" outlineLevel="0" collapsed="false">
      <c r="C9" s="54" t="s">
        <v>82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69</v>
      </c>
      <c r="I15" s="68" t="n">
        <f aca="false">ROUND(F15*H15,2)</f>
        <v>19.32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Dati!AA7</f>
        <v>0</v>
      </c>
      <c r="I16" s="68" t="n">
        <f aca="false">ROUND(F16*H16,2)</f>
        <v>0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Dati!J8+Dati!M8</f>
        <v>0</v>
      </c>
      <c r="I17" s="68" t="n">
        <f aca="false">F17*H17</f>
        <v>0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Dati!J8+Dati!M8</f>
        <v>0</v>
      </c>
      <c r="I18" s="68" t="n">
        <f aca="false">F18*H18</f>
        <v>0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Dati!AB7</f>
        <v>1</v>
      </c>
      <c r="I19" s="68" t="n">
        <f aca="false">F19*H19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Dati!P8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Dati!Z7</f>
        <v>0</v>
      </c>
      <c r="I21" s="68" t="n">
        <f aca="false">F21*H21</f>
        <v>0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21.08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21.08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Dati!H8</f>
        <v>0</v>
      </c>
      <c r="G31" s="80" t="n">
        <f aca="false">Dati!I8</f>
        <v>0</v>
      </c>
      <c r="H31" s="81" t="n">
        <f aca="false">Dati!J8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Dati!K8</f>
        <v>447</v>
      </c>
      <c r="G32" s="80" t="n">
        <f aca="false">Dati!L8</f>
        <v>447</v>
      </c>
      <c r="H32" s="81" t="n">
        <f aca="false">Dati!M8</f>
        <v>0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Dati!N8</f>
        <v>1505.985</v>
      </c>
      <c r="G33" s="81" t="n">
        <f aca="false">Dati!O8</f>
        <v>1505.985</v>
      </c>
      <c r="H33" s="81" t="n">
        <f aca="false">Dati!P8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10" activeCellId="0" sqref="E10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Dati!G9</f>
        <v>DEC2025/07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83</v>
      </c>
    </row>
    <row r="9" customFormat="false" ht="16.5" hidden="false" customHeight="false" outlineLevel="0" collapsed="false">
      <c r="C9" s="54" t="s">
        <v>84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52</v>
      </c>
      <c r="I15" s="68" t="n">
        <f aca="false">ROUND(F15*H15,2)</f>
        <v>14.56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Dati!AA8</f>
        <v>1</v>
      </c>
      <c r="I16" s="68" t="n">
        <f aca="false">ROUND(F16*H16,2)</f>
        <v>6.41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Dati!J9+Dati!M9</f>
        <v>1.596</v>
      </c>
      <c r="I17" s="68" t="n">
        <f aca="false">F17*H17</f>
        <v>4.6154724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Dati!J9+Dati!M9</f>
        <v>1.596</v>
      </c>
      <c r="I18" s="68" t="n">
        <f aca="false">F18*H18</f>
        <v>3.2636604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Dati!AB8</f>
        <v>1</v>
      </c>
      <c r="I19" s="68" t="n">
        <f aca="false">F19*H19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Dati!P9</f>
        <v>0.85</v>
      </c>
      <c r="I20" s="68" t="n">
        <f aca="false">F20*H20</f>
        <v>5.006738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Dati!Z8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37.05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37.05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Dati!H9</f>
        <v>0</v>
      </c>
      <c r="G31" s="80" t="n">
        <f aca="false">Dati!I9</f>
        <v>0</v>
      </c>
      <c r="H31" s="81" t="n">
        <f aca="false">Dati!J9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Dati!K9</f>
        <v>273.447</v>
      </c>
      <c r="G32" s="80" t="n">
        <f aca="false">Dati!L9</f>
        <v>275.043</v>
      </c>
      <c r="H32" s="81" t="n">
        <f aca="false">Dati!M9</f>
        <v>1.596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Dati!N9</f>
        <v>522.78</v>
      </c>
      <c r="G33" s="81" t="n">
        <f aca="false">Dati!O9</f>
        <v>523.63</v>
      </c>
      <c r="H33" s="81" t="n">
        <f aca="false">Dati!P9</f>
        <v>0.85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6" activeCellId="0" sqref="H6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Dati!G10</f>
        <v>DEC2025/08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85</v>
      </c>
    </row>
    <row r="9" customFormat="false" ht="16.5" hidden="false" customHeight="false" outlineLevel="0" collapsed="false">
      <c r="C9" s="54" t="s">
        <v>86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33</v>
      </c>
      <c r="I15" s="68" t="n">
        <f aca="false">ROUND(F15*H15,2)</f>
        <v>9.24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Dati!AA9</f>
        <v>0</v>
      </c>
      <c r="I16" s="68" t="n">
        <f aca="false">ROUND(F16*H16,2)</f>
        <v>0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Dati!J10+Dati!M10</f>
        <v>0</v>
      </c>
      <c r="I17" s="68" t="n">
        <f aca="false">F17*H17</f>
        <v>0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Dati!J10+Dati!M10</f>
        <v>0</v>
      </c>
      <c r="I18" s="68" t="n">
        <f aca="false">F18*H18</f>
        <v>0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Dati!AB9</f>
        <v>1</v>
      </c>
      <c r="I19" s="68" t="n">
        <f aca="false">F19*H19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Dati!P10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Dati!Z9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12.43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136.98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149.41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Dati!H10</f>
        <v>0</v>
      </c>
      <c r="G31" s="80" t="n">
        <f aca="false">Dati!I10</f>
        <v>0</v>
      </c>
      <c r="H31" s="81" t="n">
        <f aca="false">Dati!J10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Dati!K10</f>
        <v>206.814</v>
      </c>
      <c r="G32" s="80" t="n">
        <f aca="false">Dati!L10</f>
        <v>206.814</v>
      </c>
      <c r="H32" s="81" t="n">
        <f aca="false">Dati!M10</f>
        <v>0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Dati!N10</f>
        <v>399.5</v>
      </c>
      <c r="G33" s="81" t="n">
        <f aca="false">Dati!O10</f>
        <v>399.5</v>
      </c>
      <c r="H33" s="81" t="n">
        <f aca="false">Dati!P10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I26" activeCellId="0" sqref="I26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Dati!G11</f>
        <v>DEC2025/09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87</v>
      </c>
    </row>
    <row r="9" customFormat="false" ht="16.5" hidden="false" customHeight="false" outlineLevel="0" collapsed="false">
      <c r="C9" s="54" t="s">
        <v>88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69</v>
      </c>
      <c r="I15" s="68" t="n">
        <f aca="false">ROUND(F15*H15,2)</f>
        <v>19.32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Dati!AA10</f>
        <v>3</v>
      </c>
      <c r="I16" s="68" t="n">
        <f aca="false">ROUND(F16*H16,2)</f>
        <v>19.23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Dati!J11+Dati!M11</f>
        <v>2</v>
      </c>
      <c r="I17" s="68" t="n">
        <f aca="false">F17*H17</f>
        <v>5.7838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Dati!J11+Dati!M11</f>
        <v>2</v>
      </c>
      <c r="I18" s="68" t="n">
        <f aca="false">F18*H18</f>
        <v>4.0898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Dati!AB10</f>
        <v>1</v>
      </c>
      <c r="I19" s="68" t="n">
        <f aca="false">F19*H19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Dati!P11</f>
        <v>1</v>
      </c>
      <c r="I20" s="68" t="n">
        <f aca="false">F20*H20</f>
        <v>5.89028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Dati!Z10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57.51</v>
      </c>
    </row>
    <row r="25" customFormat="false" ht="16.5" hidden="false" customHeight="false" outlineLevel="0" collapsed="false">
      <c r="G25" s="72" t="s">
        <v>59</v>
      </c>
      <c r="H25" s="72"/>
      <c r="I25" s="73" t="n">
        <v>25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32.51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Dati!H11</f>
        <v>0</v>
      </c>
      <c r="G31" s="80" t="n">
        <f aca="false">Dati!I11</f>
        <v>0</v>
      </c>
      <c r="H31" s="81" t="n">
        <f aca="false">Dati!J11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Dati!K11</f>
        <v>346</v>
      </c>
      <c r="G32" s="80" t="n">
        <f aca="false">Dati!L11</f>
        <v>348</v>
      </c>
      <c r="H32" s="81" t="n">
        <f aca="false">Dati!M11</f>
        <v>2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Dati!N11</f>
        <v>936</v>
      </c>
      <c r="G33" s="81" t="n">
        <f aca="false">Dati!O11</f>
        <v>937</v>
      </c>
      <c r="H33" s="81" t="n">
        <f aca="false">Dati!P11</f>
        <v>1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I25" activeCellId="0" sqref="I25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Dati!G12</f>
        <v>DEC2025/10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89</v>
      </c>
    </row>
    <row r="9" customFormat="false" ht="16.5" hidden="false" customHeight="false" outlineLevel="0" collapsed="false">
      <c r="C9" s="54" t="s">
        <v>90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v>0</v>
      </c>
      <c r="G15" s="66"/>
      <c r="H15" s="67" t="n">
        <v>52</v>
      </c>
      <c r="I15" s="68" t="n">
        <f aca="false">ROUND(F15*H15,2)</f>
        <v>0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Dati!AA11</f>
        <v>0</v>
      </c>
      <c r="I16" s="68" t="n">
        <f aca="false">ROUND(F16*H16,2)</f>
        <v>0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Dati!J12+Dati!M12</f>
        <v>0</v>
      </c>
      <c r="I17" s="68" t="n">
        <f aca="false">F17*H17</f>
        <v>0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Dati!J12+Dati!M12</f>
        <v>0</v>
      </c>
      <c r="I18" s="68" t="n">
        <f aca="false">F18*H18</f>
        <v>0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Dati!AB11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Dati!P12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Dati!Z11</f>
        <v>0</v>
      </c>
      <c r="I21" s="68" t="n">
        <f aca="false">F21*H21</f>
        <v>0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0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0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Dati!H12</f>
        <v>0.136</v>
      </c>
      <c r="G31" s="80" t="n">
        <f aca="false">Dati!I12</f>
        <v>0.136</v>
      </c>
      <c r="H31" s="81" t="n">
        <f aca="false">Dati!J12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Dati!K12</f>
        <v>1.868</v>
      </c>
      <c r="G32" s="80" t="n">
        <f aca="false">Dati!L12</f>
        <v>1.868</v>
      </c>
      <c r="H32" s="81" t="n">
        <f aca="false">Dati!M12</f>
        <v>0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Dati!N12</f>
        <v>169</v>
      </c>
      <c r="G33" s="81" t="n">
        <f aca="false">Dati!O12</f>
        <v>169</v>
      </c>
      <c r="H33" s="81" t="n">
        <f aca="false">Dati!P12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Dati!G13</f>
        <v>DEC2025/11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91</v>
      </c>
    </row>
    <row r="9" customFormat="false" ht="16.5" hidden="false" customHeight="false" outlineLevel="0" collapsed="false">
      <c r="C9" s="54" t="s">
        <v>92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33</v>
      </c>
      <c r="I15" s="68" t="n">
        <f aca="false">ROUND(F15*H15,2)</f>
        <v>9.24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Dati!AA12</f>
        <v>0</v>
      </c>
      <c r="I16" s="68" t="n">
        <f aca="false">ROUND(F16*H16,2)</f>
        <v>0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Dati!J13+Dati!M13</f>
        <v>0</v>
      </c>
      <c r="I17" s="68" t="n">
        <f aca="false">F17*H17</f>
        <v>0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Dati!J13+Dati!M13</f>
        <v>0</v>
      </c>
      <c r="I18" s="68" t="n">
        <f aca="false">F18*H18</f>
        <v>0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Dati!AB12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Dati!P13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Dati!Z12</f>
        <v>0</v>
      </c>
      <c r="I21" s="68" t="n">
        <f aca="false">F21*H21</f>
        <v>0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9.24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9.24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Dati!H13</f>
        <v>0</v>
      </c>
      <c r="G31" s="80" t="n">
        <f aca="false">Dati!I13</f>
        <v>0</v>
      </c>
      <c r="H31" s="81" t="n">
        <f aca="false">Dati!J13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Dati!K13</f>
        <v>78</v>
      </c>
      <c r="G32" s="80" t="n">
        <f aca="false">Dati!L13</f>
        <v>78</v>
      </c>
      <c r="H32" s="81" t="n">
        <f aca="false">Dati!M13</f>
        <v>0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Dati!N13</f>
        <v>0</v>
      </c>
      <c r="G33" s="81" t="n">
        <f aca="false">Dati!O13</f>
        <v>0</v>
      </c>
      <c r="H33" s="81" t="n">
        <f aca="false">Dati!P13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Dati!G14</f>
        <v>DEC2025/12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93</v>
      </c>
    </row>
    <row r="9" customFormat="false" ht="16.5" hidden="false" customHeight="false" outlineLevel="0" collapsed="false">
      <c r="C9" s="54" t="s">
        <v>94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68</v>
      </c>
      <c r="I15" s="68" t="n">
        <f aca="false">ROUND(F15*H15,2)</f>
        <v>19.04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Dati!AA13</f>
        <v>1</v>
      </c>
      <c r="I16" s="68" t="n">
        <f aca="false">ROUND(F16*H16,2)</f>
        <v>6.41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Dati!J14+Dati!M14</f>
        <v>6</v>
      </c>
      <c r="I17" s="68" t="n">
        <f aca="false">F17*H17</f>
        <v>17.3514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Dati!J14+Dati!M14</f>
        <v>6</v>
      </c>
      <c r="I18" s="68" t="n">
        <f aca="false">F18*H18</f>
        <v>12.2694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Dati!AB13</f>
        <v>1</v>
      </c>
      <c r="I19" s="68" t="n">
        <f aca="false">F19*H19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Dati!P14</f>
        <v>2</v>
      </c>
      <c r="I20" s="68" t="n">
        <f aca="false">F20*H20</f>
        <v>11.78056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Dati!Z13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70.05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70.05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Dati!H14</f>
        <v>0</v>
      </c>
      <c r="G31" s="80" t="n">
        <f aca="false">Dati!I14</f>
        <v>0</v>
      </c>
      <c r="H31" s="81" t="n">
        <f aca="false">Dati!J14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Dati!K14</f>
        <v>1757</v>
      </c>
      <c r="G32" s="80" t="n">
        <f aca="false">Dati!L14</f>
        <v>1763</v>
      </c>
      <c r="H32" s="81" t="n">
        <f aca="false">Dati!M14</f>
        <v>6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Dati!N14</f>
        <v>849</v>
      </c>
      <c r="G33" s="81" t="n">
        <f aca="false">Dati!O14</f>
        <v>851</v>
      </c>
      <c r="H33" s="81" t="n">
        <f aca="false">Dati!P14</f>
        <v>2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Dati!G15</f>
        <v>DEC2025/13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95</v>
      </c>
    </row>
    <row r="9" customFormat="false" ht="16.5" hidden="false" customHeight="false" outlineLevel="0" collapsed="false">
      <c r="C9" s="54" t="s">
        <v>96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52</v>
      </c>
      <c r="I15" s="68" t="n">
        <f aca="false">ROUND(F15*H15,2)</f>
        <v>14.56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Dati!AA14</f>
        <v>3</v>
      </c>
      <c r="I16" s="68" t="n">
        <f aca="false">ROUND(F16*H16,2)</f>
        <v>19.23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Dati!J15+Dati!M15</f>
        <v>6</v>
      </c>
      <c r="I17" s="68" t="n">
        <f aca="false">F17*H17</f>
        <v>17.3514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Dati!J15+Dati!M15</f>
        <v>6</v>
      </c>
      <c r="I18" s="68" t="n">
        <f aca="false">F18*H18</f>
        <v>12.2694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Dati!AB14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Dati!P15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Dati!Z14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64.84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64.84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Dati!H15</f>
        <v>289.972</v>
      </c>
      <c r="G31" s="80" t="n">
        <f aca="false">Dati!I15</f>
        <v>294.972</v>
      </c>
      <c r="H31" s="81" t="n">
        <f aca="false">Dati!J15</f>
        <v>5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Dati!K15</f>
        <v>324.62</v>
      </c>
      <c r="G32" s="80" t="n">
        <f aca="false">Dati!L15</f>
        <v>325.62</v>
      </c>
      <c r="H32" s="81" t="n">
        <f aca="false">Dati!M15</f>
        <v>1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Dati!N15</f>
        <v>331.827</v>
      </c>
      <c r="G33" s="81" t="n">
        <f aca="false">Dati!O15</f>
        <v>331.827</v>
      </c>
      <c r="H33" s="81" t="n">
        <f aca="false">Dati!P15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Dati!G16</f>
        <v>DEC2025/14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97</v>
      </c>
    </row>
    <row r="9" customFormat="false" ht="16.5" hidden="false" customHeight="false" outlineLevel="0" collapsed="false">
      <c r="C9" s="54" t="s">
        <v>98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33</v>
      </c>
      <c r="I15" s="68" t="n">
        <f aca="false">ROUND(F15*H15,2)</f>
        <v>9.24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Dati!AA15</f>
        <v>0</v>
      </c>
      <c r="I16" s="68" t="n">
        <f aca="false">ROUND(F16*H16,2)</f>
        <v>0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Dati!J16+Dati!M16</f>
        <v>0</v>
      </c>
      <c r="I17" s="68" t="n">
        <f aca="false">F17*H17</f>
        <v>0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Dati!J16+Dati!M16</f>
        <v>0</v>
      </c>
      <c r="I18" s="68" t="n">
        <f aca="false">F18*H18</f>
        <v>0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Dati!AB15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Dati!P16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Dati!Z15</f>
        <v>0</v>
      </c>
      <c r="I21" s="68" t="n">
        <f aca="false">F21*H21</f>
        <v>0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9.24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9.24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Dati!H16</f>
        <v>0</v>
      </c>
      <c r="G31" s="80" t="n">
        <f aca="false">Dati!I16</f>
        <v>0</v>
      </c>
      <c r="H31" s="81" t="n">
        <f aca="false">Dati!J16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Dati!K16</f>
        <v>189</v>
      </c>
      <c r="G32" s="80" t="n">
        <f aca="false">Dati!L16</f>
        <v>189</v>
      </c>
      <c r="H32" s="81" t="n">
        <f aca="false">Dati!M16</f>
        <v>0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Dati!N16</f>
        <v>218</v>
      </c>
      <c r="G33" s="81" t="n">
        <f aca="false">Dati!O16</f>
        <v>218</v>
      </c>
      <c r="H33" s="81" t="n">
        <f aca="false">Dati!P16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Dati!G17</f>
        <v>DEC2025/15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99</v>
      </c>
    </row>
    <row r="9" customFormat="false" ht="16.5" hidden="false" customHeight="false" outlineLevel="0" collapsed="false">
      <c r="C9" s="54" t="s">
        <v>100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68</v>
      </c>
      <c r="I15" s="68" t="n">
        <f aca="false">ROUND(F15*H15,2)</f>
        <v>19.04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Dati!AA16</f>
        <v>0</v>
      </c>
      <c r="I16" s="68" t="n">
        <f aca="false">ROUND(F16*H16,2)</f>
        <v>0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Dati!J17+Dati!M17</f>
        <v>0</v>
      </c>
      <c r="I17" s="68" t="n">
        <f aca="false">F17*H17</f>
        <v>0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Dati!J17+Dati!M17</f>
        <v>0</v>
      </c>
      <c r="I18" s="68" t="n">
        <f aca="false">F18*H18</f>
        <v>0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Dati!AB16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Dati!P17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Dati!Z16</f>
        <v>0</v>
      </c>
      <c r="I21" s="68" t="n">
        <f aca="false">F21*H21</f>
        <v>0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19.04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19.04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Dati!H17</f>
        <v>0</v>
      </c>
      <c r="G31" s="80" t="n">
        <f aca="false">Dati!I17</f>
        <v>0</v>
      </c>
      <c r="H31" s="81" t="n">
        <f aca="false">Dati!J17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Dati!K17</f>
        <v>0</v>
      </c>
      <c r="G32" s="80" t="n">
        <f aca="false">Dati!L17</f>
        <v>0</v>
      </c>
      <c r="H32" s="81" t="n">
        <f aca="false">Dati!M17</f>
        <v>0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Dati!N17</f>
        <v>0</v>
      </c>
      <c r="G33" s="81" t="n">
        <f aca="false">Dati!O17</f>
        <v>0</v>
      </c>
      <c r="H33" s="81" t="n">
        <f aca="false">Dati!P17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Dati!G18</f>
        <v>DEC2025/16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7" customFormat="false" ht="16.5" hidden="false" customHeight="false" outlineLevel="0" collapsed="false">
      <c r="C7" s="54" t="s">
        <v>101</v>
      </c>
    </row>
    <row r="8" customFormat="false" ht="16.5" hidden="false" customHeight="false" outlineLevel="0" collapsed="false">
      <c r="C8" s="54" t="s">
        <v>102</v>
      </c>
    </row>
    <row r="9" customFormat="false" ht="16.5" hidden="false" customHeight="false" outlineLevel="0" collapsed="false">
      <c r="C9" s="54" t="s">
        <v>103</v>
      </c>
      <c r="I9" s="60"/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52</v>
      </c>
      <c r="I15" s="68" t="n">
        <f aca="false">ROUND(F15*H15,2)</f>
        <v>14.56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Dati!AA17</f>
        <v>1</v>
      </c>
      <c r="I16" s="68" t="n">
        <f aca="false">ROUND(F16*H16,2)</f>
        <v>6.41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Dati!J18+Dati!M18</f>
        <v>4</v>
      </c>
      <c r="I17" s="68" t="n">
        <f aca="false">F17*H17</f>
        <v>11.5676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Dati!J18+Dati!M18</f>
        <v>4</v>
      </c>
      <c r="I18" s="68" t="n">
        <f aca="false">F18*H18</f>
        <v>8.1796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Dati!AB17</f>
        <v>1</v>
      </c>
      <c r="I19" s="68" t="n">
        <f aca="false">F19*H19</f>
        <v>1.76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Dati!P18</f>
        <v>1</v>
      </c>
      <c r="I20" s="68" t="n">
        <f aca="false">F20*H20</f>
        <v>5.89028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Dati!Z17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49.8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A27" s="70"/>
      <c r="B27" s="70"/>
      <c r="C27" s="70"/>
      <c r="D27" s="70"/>
      <c r="E27" s="70"/>
      <c r="F27" s="70"/>
      <c r="G27" s="88" t="s">
        <v>61</v>
      </c>
      <c r="H27" s="88"/>
      <c r="I27" s="89" t="n">
        <f aca="false">ROUND(I24-I25+I26,2)</f>
        <v>49.8</v>
      </c>
      <c r="J27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90" t="s">
        <v>62</v>
      </c>
      <c r="G30" s="90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Dati!H18</f>
        <v>0</v>
      </c>
      <c r="G31" s="80" t="n">
        <f aca="false">Dati!I18</f>
        <v>0</v>
      </c>
      <c r="H31" s="81" t="n">
        <f aca="false">Dati!J18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Dati!K18</f>
        <v>751</v>
      </c>
      <c r="G32" s="80" t="n">
        <f aca="false">Dati!L18</f>
        <v>755</v>
      </c>
      <c r="H32" s="81" t="n">
        <f aca="false">Dati!M18</f>
        <v>4</v>
      </c>
    </row>
    <row r="33" customFormat="false" ht="16.5" hidden="false" customHeight="false" outlineLevel="0" collapsed="false">
      <c r="B33" s="72"/>
      <c r="C33" s="72"/>
      <c r="D33" s="72" t="s">
        <v>66</v>
      </c>
      <c r="E33" s="72"/>
      <c r="F33" s="81" t="n">
        <f aca="false">Dati!N18</f>
        <v>337</v>
      </c>
      <c r="G33" s="81" t="n">
        <f aca="false">Dati!O18</f>
        <v>338</v>
      </c>
      <c r="H33" s="81" t="n">
        <f aca="false">Dati!P18</f>
        <v>1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9" activeCellId="0" sqref="G9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Dati!G19</f>
        <v>DEC2025/17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104</v>
      </c>
    </row>
    <row r="9" customFormat="false" ht="16.5" hidden="false" customHeight="false" outlineLevel="0" collapsed="false">
      <c r="C9" s="54" t="s">
        <v>105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33</v>
      </c>
      <c r="I15" s="68" t="n">
        <f aca="false">ROUND(F15*H15,2)</f>
        <v>9.24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Dati!AA18</f>
        <v>1</v>
      </c>
      <c r="I16" s="68" t="n">
        <f aca="false">ROUND(F16*H16,2)</f>
        <v>6.41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Dati!J19+Dati!M19</f>
        <v>2.5</v>
      </c>
      <c r="I17" s="68" t="n">
        <f aca="false">F17*H17</f>
        <v>7.22975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Dati!J19+Dati!M19</f>
        <v>2.5</v>
      </c>
      <c r="I18" s="68" t="n">
        <f aca="false">F18*H18</f>
        <v>5.11225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Dati!AB18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Dati!P19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Dati!Z18</f>
        <v>1</v>
      </c>
      <c r="I21" s="68" t="n">
        <f aca="false">F21*H21</f>
        <v>1.43416666666667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29.43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0</v>
      </c>
    </row>
    <row r="27" customFormat="false" ht="18.75" hidden="false" customHeight="false" outlineLevel="0" collapsed="false">
      <c r="G27" s="62" t="s">
        <v>61</v>
      </c>
      <c r="H27" s="62"/>
      <c r="I27" s="74" t="n">
        <f aca="false">ROUND(I24-I25+I26,2)</f>
        <v>29.43</v>
      </c>
    </row>
    <row r="28" customFormat="false" ht="16.5" hidden="false" customHeight="false" outlineLevel="0" collapsed="false">
      <c r="A28" s="70"/>
      <c r="B28" s="70"/>
      <c r="C28" s="70"/>
      <c r="D28" s="70"/>
      <c r="E28" s="70"/>
      <c r="F28" s="70"/>
      <c r="G28" s="70"/>
      <c r="H28" s="70"/>
      <c r="I28" s="70"/>
      <c r="J28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78" t="s">
        <v>62</v>
      </c>
      <c r="G30" s="78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Dati!H19</f>
        <v>0</v>
      </c>
      <c r="G31" s="80" t="n">
        <f aca="false">Dati!I19</f>
        <v>0</v>
      </c>
      <c r="H31" s="81" t="n">
        <f aca="false">Dati!J19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Dati!K19</f>
        <v>547.3</v>
      </c>
      <c r="G32" s="80" t="n">
        <f aca="false">Dati!L19</f>
        <v>549.8</v>
      </c>
      <c r="H32" s="81" t="n">
        <f aca="false">Dati!M19</f>
        <v>2.5</v>
      </c>
    </row>
    <row r="33" customFormat="false" ht="16.5" hidden="false" customHeight="false" outlineLevel="0" collapsed="false">
      <c r="B33" s="72"/>
      <c r="C33" s="77"/>
      <c r="D33" s="77" t="s">
        <v>66</v>
      </c>
      <c r="E33" s="77"/>
      <c r="F33" s="80" t="n">
        <f aca="false">Dati!N19</f>
        <v>0</v>
      </c>
      <c r="G33" s="80" t="n">
        <f aca="false">Dati!O19</f>
        <v>0</v>
      </c>
      <c r="H33" s="81" t="n">
        <f aca="false">Dati!P19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  <row r="46" customFormat="false" ht="16.5" hidden="false" customHeight="false" outlineLevel="0" collapsed="false">
      <c r="J46" s="92"/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2CC"/>
    <pageSetUpPr fitToPage="true"/>
  </sheetPr>
  <dimension ref="A2:W46"/>
  <sheetViews>
    <sheetView showFormulas="false" showGridLines="true" showRowColHeaders="true" showZeros="true" rightToLeft="false" tabSelected="false" showOutlineSymbols="true" defaultGridColor="true" view="normal" topLeftCell="A3" colorId="64" zoomScale="85" zoomScaleNormal="85" zoomScalePageLayoutView="100" workbookViewId="0">
      <selection pane="topLeft" activeCell="G7" activeCellId="0" sqref="G7"/>
    </sheetView>
  </sheetViews>
  <sheetFormatPr defaultColWidth="9.14453125" defaultRowHeight="16.5" zeroHeight="false" outlineLevelRow="0" outlineLevelCol="0"/>
  <cols>
    <col collapsed="false" customWidth="true" hidden="false" outlineLevel="0" max="1" min="1" style="54" width="8.7"/>
    <col collapsed="false" customWidth="true" hidden="false" outlineLevel="0" max="2" min="2" style="54" width="5"/>
    <col collapsed="false" customWidth="false" hidden="false" outlineLevel="0" max="3" min="3" style="54" width="9.14"/>
    <col collapsed="false" customWidth="true" hidden="false" outlineLevel="0" max="4" min="4" style="54" width="9.28"/>
    <col collapsed="false" customWidth="true" hidden="false" outlineLevel="0" max="5" min="5" style="54" width="3.43"/>
    <col collapsed="false" customWidth="true" hidden="false" outlineLevel="0" max="6" min="6" style="54" width="12.28"/>
    <col collapsed="false" customWidth="true" hidden="false" outlineLevel="0" max="7" min="7" style="54" width="13"/>
    <col collapsed="false" customWidth="true" hidden="false" outlineLevel="0" max="8" min="8" style="54" width="14.28"/>
    <col collapsed="false" customWidth="true" hidden="false" outlineLevel="0" max="9" min="9" style="54" width="10.71"/>
    <col collapsed="false" customWidth="true" hidden="false" outlineLevel="0" max="10" min="10" style="54" width="10.85"/>
    <col collapsed="false" customWidth="false" hidden="false" outlineLevel="0" max="1024" min="11" style="54" width="9.14"/>
  </cols>
  <sheetData>
    <row r="2" customFormat="false" ht="17.25" hidden="false" customHeight="false" outlineLevel="0" collapsed="false">
      <c r="C2" s="54" t="s">
        <v>40</v>
      </c>
      <c r="H2" s="55" t="s">
        <v>41</v>
      </c>
      <c r="I2" s="55"/>
      <c r="J2" s="55"/>
    </row>
    <row r="3" customFormat="false" ht="16.5" hidden="false" customHeight="false" outlineLevel="0" collapsed="false">
      <c r="C3" s="54" t="s">
        <v>42</v>
      </c>
      <c r="H3" s="54" t="s">
        <v>43</v>
      </c>
      <c r="J3" s="56" t="str">
        <f aca="false">Dati!G20</f>
        <v>DEC2025/18</v>
      </c>
    </row>
    <row r="4" customFormat="false" ht="16.5" hidden="false" customHeight="false" outlineLevel="0" collapsed="false">
      <c r="C4" s="54" t="s">
        <v>44</v>
      </c>
      <c r="H4" s="54" t="s">
        <v>45</v>
      </c>
      <c r="J4" s="57" t="n">
        <f aca="false">Dati!B9</f>
        <v>46014</v>
      </c>
    </row>
    <row r="5" customFormat="false" ht="16.5" hidden="false" customHeight="false" outlineLevel="0" collapsed="false">
      <c r="C5" s="54" t="s">
        <v>46</v>
      </c>
      <c r="H5" s="58" t="s">
        <v>47</v>
      </c>
      <c r="J5" s="57" t="n">
        <f aca="false">Dati!B10</f>
        <v>46028</v>
      </c>
    </row>
    <row r="6" customFormat="false" ht="16.5" hidden="false" customHeight="false" outlineLevel="0" collapsed="false">
      <c r="J6" s="59"/>
    </row>
    <row r="8" customFormat="false" ht="16.5" hidden="false" customHeight="false" outlineLevel="0" collapsed="false">
      <c r="C8" s="54" t="s">
        <v>106</v>
      </c>
    </row>
    <row r="9" customFormat="false" ht="16.5" hidden="false" customHeight="false" outlineLevel="0" collapsed="false">
      <c r="C9" s="54" t="s">
        <v>107</v>
      </c>
      <c r="I9" s="60"/>
    </row>
    <row r="10" customFormat="false" ht="16.5" hidden="false" customHeight="false" outlineLevel="0" collapsed="false">
      <c r="C10" s="54" t="s">
        <v>46</v>
      </c>
    </row>
    <row r="12" customFormat="false" ht="16.5" hidden="false" customHeight="false" outlineLevel="0" collapsed="false">
      <c r="A12" s="61"/>
      <c r="B12" s="61"/>
      <c r="C12" s="61"/>
      <c r="D12" s="61"/>
      <c r="E12" s="61"/>
      <c r="F12" s="61"/>
      <c r="G12" s="61"/>
      <c r="H12" s="61"/>
      <c r="I12" s="61"/>
      <c r="J12" s="61"/>
    </row>
    <row r="14" customFormat="false" ht="16.5" hidden="false" customHeight="false" outlineLevel="0" collapsed="false">
      <c r="B14" s="62" t="s">
        <v>50</v>
      </c>
      <c r="C14" s="63" t="s">
        <v>51</v>
      </c>
      <c r="D14" s="63"/>
      <c r="E14" s="63"/>
      <c r="F14" s="63" t="s">
        <v>52</v>
      </c>
      <c r="G14" s="63"/>
      <c r="H14" s="62" t="s">
        <v>53</v>
      </c>
      <c r="I14" s="62" t="s">
        <v>54</v>
      </c>
    </row>
    <row r="15" customFormat="false" ht="16.5" hidden="false" customHeight="false" outlineLevel="0" collapsed="false">
      <c r="B15" s="64" t="n">
        <v>1</v>
      </c>
      <c r="C15" s="65" t="s">
        <v>55</v>
      </c>
      <c r="D15" s="65"/>
      <c r="E15" s="65"/>
      <c r="F15" s="66" t="n">
        <f aca="false">[1]DATUMI!H2</f>
        <v>0.28</v>
      </c>
      <c r="G15" s="66"/>
      <c r="H15" s="67" t="n">
        <v>68</v>
      </c>
      <c r="I15" s="68" t="n">
        <f aca="false">ROUND(F15*H15,2)</f>
        <v>19.04</v>
      </c>
    </row>
    <row r="16" customFormat="false" ht="16.5" hidden="false" customHeight="false" outlineLevel="0" collapsed="false">
      <c r="B16" s="64" t="n">
        <v>2</v>
      </c>
      <c r="C16" s="65" t="s">
        <v>12</v>
      </c>
      <c r="D16" s="65"/>
      <c r="E16" s="65"/>
      <c r="F16" s="66" t="n">
        <f aca="false">Dati!D3</f>
        <v>6.41</v>
      </c>
      <c r="G16" s="66"/>
      <c r="H16" s="67" t="n">
        <f aca="false">Dati!AA19</f>
        <v>0</v>
      </c>
      <c r="I16" s="68" t="n">
        <f aca="false">ROUND(F16*H16,2)</f>
        <v>0</v>
      </c>
    </row>
    <row r="17" customFormat="false" ht="16.5" hidden="false" customHeight="false" outlineLevel="0" collapsed="false">
      <c r="B17" s="64" t="n">
        <v>3</v>
      </c>
      <c r="C17" s="65" t="s">
        <v>6</v>
      </c>
      <c r="D17" s="65"/>
      <c r="E17" s="65"/>
      <c r="F17" s="66" t="n">
        <f aca="false">Dati!D5</f>
        <v>2.8919</v>
      </c>
      <c r="G17" s="66"/>
      <c r="H17" s="67" t="n">
        <f aca="false">Dati!J20+Dati!M20</f>
        <v>0</v>
      </c>
      <c r="I17" s="68" t="n">
        <f aca="false">F17*H17</f>
        <v>0</v>
      </c>
    </row>
    <row r="18" customFormat="false" ht="16.5" hidden="false" customHeight="false" outlineLevel="0" collapsed="false">
      <c r="B18" s="64" t="n">
        <v>4</v>
      </c>
      <c r="C18" s="65" t="s">
        <v>7</v>
      </c>
      <c r="D18" s="65"/>
      <c r="E18" s="65"/>
      <c r="F18" s="66" t="n">
        <f aca="false">Dati!D4</f>
        <v>2.0449</v>
      </c>
      <c r="G18" s="66"/>
      <c r="H18" s="67" t="n">
        <f aca="false">Dati!J20+Dati!M20</f>
        <v>0</v>
      </c>
      <c r="I18" s="68" t="n">
        <f aca="false">F18*H18</f>
        <v>0</v>
      </c>
    </row>
    <row r="19" customFormat="false" ht="16.5" hidden="false" customHeight="false" outlineLevel="0" collapsed="false">
      <c r="B19" s="64" t="n">
        <v>5</v>
      </c>
      <c r="C19" s="65" t="s">
        <v>56</v>
      </c>
      <c r="D19" s="65"/>
      <c r="E19" s="65"/>
      <c r="F19" s="66" t="n">
        <f aca="false">Dati!D7</f>
        <v>1.76</v>
      </c>
      <c r="G19" s="66"/>
      <c r="H19" s="67" t="n">
        <f aca="false">Dati!AB19</f>
        <v>0</v>
      </c>
      <c r="I19" s="68" t="n">
        <f aca="false">F19*H19</f>
        <v>0</v>
      </c>
    </row>
    <row r="20" customFormat="false" ht="16.5" hidden="false" customHeight="false" outlineLevel="0" collapsed="false">
      <c r="B20" s="64" t="n">
        <v>6</v>
      </c>
      <c r="C20" s="65" t="s">
        <v>8</v>
      </c>
      <c r="D20" s="65"/>
      <c r="E20" s="65"/>
      <c r="F20" s="66" t="n">
        <f aca="false">Dati!D6</f>
        <v>5.89028</v>
      </c>
      <c r="G20" s="66"/>
      <c r="H20" s="67" t="n">
        <f aca="false">Dati!P20</f>
        <v>0</v>
      </c>
      <c r="I20" s="68" t="n">
        <f aca="false">F20*H20</f>
        <v>0</v>
      </c>
    </row>
    <row r="21" customFormat="false" ht="16.5" hidden="false" customHeight="false" outlineLevel="0" collapsed="false">
      <c r="B21" s="64" t="n">
        <v>7</v>
      </c>
      <c r="C21" s="65" t="s">
        <v>57</v>
      </c>
      <c r="D21" s="65"/>
      <c r="E21" s="65"/>
      <c r="F21" s="66" t="n">
        <f aca="false">Dati!D2</f>
        <v>1.43416666666667</v>
      </c>
      <c r="G21" s="66"/>
      <c r="H21" s="67" t="n">
        <f aca="false">Dati!Z19</f>
        <v>0</v>
      </c>
      <c r="I21" s="68" t="n">
        <f aca="false">F21*H21</f>
        <v>0</v>
      </c>
    </row>
    <row r="22" customFormat="false" ht="16.5" hidden="false" customHeight="false" outlineLevel="0" collapsed="false">
      <c r="C22" s="65"/>
      <c r="D22" s="65"/>
      <c r="E22" s="65"/>
      <c r="F22" s="69"/>
      <c r="G22" s="69"/>
      <c r="I22" s="68"/>
    </row>
    <row r="23" customFormat="false" ht="8.25" hidden="false" customHeight="true" outlineLevel="0" collapsed="false">
      <c r="B23" s="70"/>
      <c r="C23" s="70"/>
      <c r="D23" s="70"/>
      <c r="E23" s="70"/>
      <c r="F23" s="70"/>
      <c r="G23" s="70"/>
      <c r="H23" s="70"/>
      <c r="I23" s="71"/>
    </row>
    <row r="24" customFormat="false" ht="16.5" hidden="false" customHeight="false" outlineLevel="0" collapsed="false">
      <c r="G24" s="54" t="s">
        <v>58</v>
      </c>
      <c r="I24" s="68" t="n">
        <f aca="false">ROUND(SUM(I15:I21),2)</f>
        <v>19.04</v>
      </c>
    </row>
    <row r="25" customFormat="false" ht="16.5" hidden="false" customHeight="false" outlineLevel="0" collapsed="false">
      <c r="G25" s="72" t="s">
        <v>59</v>
      </c>
      <c r="H25" s="72"/>
      <c r="I25" s="73" t="n">
        <v>0</v>
      </c>
    </row>
    <row r="26" s="72" customFormat="true" ht="16.5" hidden="false" customHeight="false" outlineLevel="0" collapsed="false">
      <c r="G26" s="72" t="s">
        <v>60</v>
      </c>
      <c r="I26" s="73" t="n">
        <v>76.16</v>
      </c>
    </row>
    <row r="27" customFormat="false" ht="18.75" hidden="false" customHeight="false" outlineLevel="0" collapsed="false">
      <c r="G27" s="62" t="s">
        <v>61</v>
      </c>
      <c r="H27" s="62"/>
      <c r="I27" s="74" t="n">
        <f aca="false">ROUND(I24-I25+I26,2)</f>
        <v>95.2</v>
      </c>
    </row>
    <row r="28" customFormat="false" ht="16.5" hidden="false" customHeight="false" outlineLevel="0" collapsed="false">
      <c r="A28" s="70"/>
      <c r="B28" s="70"/>
      <c r="C28" s="70"/>
      <c r="D28" s="70"/>
      <c r="E28" s="70"/>
      <c r="F28" s="70"/>
      <c r="G28" s="70"/>
      <c r="H28" s="70"/>
      <c r="I28" s="70"/>
      <c r="J28" s="70"/>
    </row>
    <row r="29" customFormat="false" ht="16.5" hidden="false" customHeight="false" outlineLevel="0" collapsed="false">
      <c r="B29" s="72" t="str">
        <f aca="false">Dati!R1</f>
        <v>Skaitītāju rādījumi par:</v>
      </c>
      <c r="C29" s="75"/>
      <c r="D29" s="75"/>
      <c r="E29" s="72"/>
      <c r="F29" s="76" t="str">
        <f aca="false">Dati!U1</f>
        <v>01.11.2025.-30.11.2025.</v>
      </c>
      <c r="G29" s="76"/>
      <c r="H29" s="76"/>
    </row>
    <row r="30" customFormat="false" ht="16.5" hidden="false" customHeight="false" outlineLevel="0" collapsed="false">
      <c r="B30" s="72"/>
      <c r="C30" s="77"/>
      <c r="D30" s="77"/>
      <c r="E30" s="77"/>
      <c r="F30" s="78" t="s">
        <v>62</v>
      </c>
      <c r="G30" s="78" t="s">
        <v>63</v>
      </c>
      <c r="H30" s="79" t="s">
        <v>64</v>
      </c>
    </row>
    <row r="31" customFormat="false" ht="16.5" hidden="false" customHeight="false" outlineLevel="0" collapsed="false">
      <c r="B31" s="72"/>
      <c r="C31" s="77"/>
      <c r="D31" s="77" t="s">
        <v>6</v>
      </c>
      <c r="E31" s="77"/>
      <c r="F31" s="80" t="n">
        <f aca="false">Dati!H20</f>
        <v>0</v>
      </c>
      <c r="G31" s="80" t="n">
        <f aca="false">Dati!I20</f>
        <v>0</v>
      </c>
      <c r="H31" s="81" t="n">
        <f aca="false">Dati!J20</f>
        <v>0</v>
      </c>
    </row>
    <row r="32" customFormat="false" ht="16.5" hidden="false" customHeight="false" outlineLevel="0" collapsed="false">
      <c r="B32" s="72"/>
      <c r="C32" s="77"/>
      <c r="D32" s="77" t="s">
        <v>65</v>
      </c>
      <c r="E32" s="77"/>
      <c r="F32" s="80" t="n">
        <f aca="false">Dati!K20</f>
        <v>57.09</v>
      </c>
      <c r="G32" s="80" t="n">
        <f aca="false">Dati!L20</f>
        <v>57.09</v>
      </c>
      <c r="H32" s="81" t="n">
        <f aca="false">Dati!M20</f>
        <v>0</v>
      </c>
    </row>
    <row r="33" customFormat="false" ht="16.5" hidden="false" customHeight="false" outlineLevel="0" collapsed="false">
      <c r="B33" s="72"/>
      <c r="C33" s="77"/>
      <c r="D33" s="77" t="s">
        <v>66</v>
      </c>
      <c r="E33" s="77"/>
      <c r="F33" s="80" t="n">
        <f aca="false">Dati!N20</f>
        <v>249.5</v>
      </c>
      <c r="G33" s="80" t="n">
        <f aca="false">Dati!O20</f>
        <v>249.5</v>
      </c>
      <c r="H33" s="81" t="n">
        <f aca="false">Dati!P20</f>
        <v>0</v>
      </c>
    </row>
    <row r="36" customFormat="false" ht="16.5" hidden="false" customHeight="false" outlineLevel="0" collapsed="false">
      <c r="A36" s="82" t="s">
        <v>67</v>
      </c>
      <c r="O36" s="58"/>
      <c r="P36" s="58"/>
      <c r="Q36" s="58"/>
      <c r="R36" s="58"/>
      <c r="S36" s="58"/>
      <c r="T36" s="58"/>
      <c r="U36" s="58"/>
      <c r="V36" s="58"/>
      <c r="W36" s="58"/>
    </row>
    <row r="37" customFormat="false" ht="16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</row>
    <row r="38" customFormat="false" ht="16.5" hidden="false" customHeight="true" outlineLevel="0" collapsed="false">
      <c r="A38" s="91"/>
      <c r="B38" s="91"/>
      <c r="C38" s="91"/>
      <c r="D38" s="91"/>
      <c r="E38" s="91"/>
      <c r="F38" s="91"/>
      <c r="G38" s="91"/>
      <c r="H38" s="91"/>
      <c r="I38" s="91"/>
      <c r="J38" s="91"/>
    </row>
    <row r="39" customFormat="false" ht="15" hidden="false" customHeight="true" outlineLevel="0" collapsed="false">
      <c r="A39" s="91"/>
      <c r="B39" s="91"/>
      <c r="C39" s="91"/>
      <c r="D39" s="91"/>
      <c r="E39" s="91"/>
      <c r="F39" s="91"/>
      <c r="G39" s="91"/>
      <c r="H39" s="91"/>
      <c r="I39" s="91"/>
      <c r="J39" s="91"/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</row>
    <row r="41" customFormat="false" ht="16.5" hidden="false" customHeight="true" outlineLevel="0" collapsed="false">
      <c r="A41" s="91"/>
      <c r="B41" s="91"/>
      <c r="C41" s="91"/>
      <c r="D41" s="91"/>
      <c r="E41" s="91"/>
      <c r="F41" s="91"/>
      <c r="G41" s="91"/>
      <c r="H41" s="91"/>
      <c r="I41" s="91"/>
      <c r="J41" s="91"/>
    </row>
    <row r="42" customFormat="false" ht="17.25" hidden="false" customHeight="false" outlineLevel="0" collapsed="false">
      <c r="A42" s="91"/>
      <c r="B42" s="91"/>
      <c r="C42" s="91"/>
      <c r="D42" s="91"/>
      <c r="E42" s="91"/>
      <c r="F42" s="91"/>
      <c r="G42" s="91"/>
      <c r="H42" s="91"/>
      <c r="I42" s="91"/>
      <c r="J42" s="91"/>
    </row>
    <row r="43" customFormat="false" ht="16.5" hidden="false" customHeight="false" outlineLevel="0" collapsed="false">
      <c r="A43" s="58" t="s">
        <v>68</v>
      </c>
      <c r="C43" s="58" t="s">
        <v>69</v>
      </c>
      <c r="G43" s="84"/>
      <c r="H43" s="85" t="s">
        <v>70</v>
      </c>
      <c r="I43" s="86" t="n">
        <v>29530007</v>
      </c>
      <c r="J43" s="86"/>
    </row>
    <row r="44" customFormat="false" ht="16.5" hidden="false" customHeight="false" outlineLevel="0" collapsed="false">
      <c r="A44" s="54" t="s">
        <v>71</v>
      </c>
      <c r="C44" s="54" t="s">
        <v>72</v>
      </c>
      <c r="G44" s="84"/>
      <c r="H44" s="85" t="s">
        <v>73</v>
      </c>
    </row>
    <row r="45" customFormat="false" ht="16.5" hidden="false" customHeight="false" outlineLevel="0" collapsed="false">
      <c r="G45" s="84"/>
      <c r="I45" s="84"/>
      <c r="J45" s="87" t="s">
        <v>74</v>
      </c>
    </row>
    <row r="46" customFormat="false" ht="16.5" hidden="false" customHeight="false" outlineLevel="0" collapsed="false">
      <c r="J46" s="92"/>
    </row>
  </sheetData>
  <mergeCells count="20">
    <mergeCell ref="H2:J2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A37:J42"/>
  </mergeCells>
  <dataValidations count="1">
    <dataValidation allowBlank="true" errorStyle="stop" operator="between" prompt="31.01.2020, 29.02.2020, 31.03.2020, 30.04.2020, 31.05.2020, 30.06.2020, 31.07.2020, 31.08.2020, 30.09.2020, 31.10.2020, 30.11.2020, 31.12.2020" promptTitle="последний день числа" showDropDown="false" showErrorMessage="true" showInputMessage="true" sqref="I8" type="none">
      <formula1>0</formula1>
      <formula2>0</formula2>
    </dataValidation>
  </dataValidations>
  <hyperlinks>
    <hyperlink ref="J45" r:id="rId1" display="janinabobriseva57@inbox.lv"/>
  </hyperlink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1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levdanskiy</dc:creator>
  <dc:description/>
  <dc:language>ru-RU</dc:language>
  <cp:lastModifiedBy/>
  <cp:lastPrinted>2025-12-26T09:27:56Z</cp:lastPrinted>
  <dcterms:modified xsi:type="dcterms:W3CDTF">2025-12-26T09:29:40Z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