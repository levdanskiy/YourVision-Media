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IENTS" sheetId="1" r:id="rId1"/>
    <sheet name="DATA" sheetId="2" r:id="rId2"/>
    <sheet name="INVOICE" sheetId="3" r:id="rId3"/>
  </sheets>
  <calcPr calcId="124519" fullCalcOnLoad="1"/>
</workbook>
</file>

<file path=xl/sharedStrings.xml><?xml version="1.0" encoding="utf-8"?>
<sst xmlns="http://schemas.openxmlformats.org/spreadsheetml/2006/main" count="70" uniqueCount="66">
  <si>
    <t>ID</t>
  </si>
  <si>
    <t>Nosaukums</t>
  </si>
  <si>
    <t>Reģ. Nr.</t>
  </si>
  <si>
    <t>PVN Nr.</t>
  </si>
  <si>
    <t>Adrese</t>
  </si>
  <si>
    <t>Banka</t>
  </si>
  <si>
    <t>SWIFT</t>
  </si>
  <si>
    <t>Konta Nr.</t>
  </si>
  <si>
    <t>E-pasts</t>
  </si>
  <si>
    <t>KL-001</t>
  </si>
  <si>
    <t>SIA Alpha Baltic</t>
  </si>
  <si>
    <t>40003001234</t>
  </si>
  <si>
    <t>LV40003001234</t>
  </si>
  <si>
    <t>Rīga, Brīvības 1</t>
  </si>
  <si>
    <t>Swedbank</t>
  </si>
  <si>
    <t>HABA...</t>
  </si>
  <si>
    <t>LV00HABA...</t>
  </si>
  <si>
    <t>info@alpha.lv</t>
  </si>
  <si>
    <t>KL-002</t>
  </si>
  <si>
    <t>AS Beta Group</t>
  </si>
  <si>
    <t>50003005678</t>
  </si>
  <si>
    <t>LV50003005678</t>
  </si>
  <si>
    <t>Jūrmala, Jomas 10</t>
  </si>
  <si>
    <t>SEB</t>
  </si>
  <si>
    <t>UNLA...</t>
  </si>
  <si>
    <t>LV00UNLA...</t>
  </si>
  <si>
    <t>acc@beta.lv</t>
  </si>
  <si>
    <t>Rēķina Nr.</t>
  </si>
  <si>
    <t>Datums</t>
  </si>
  <si>
    <t>Termiņš</t>
  </si>
  <si>
    <t>Klients ID</t>
  </si>
  <si>
    <t>Pakalpojums</t>
  </si>
  <si>
    <t>Mērvienība</t>
  </si>
  <si>
    <t>Daudzums</t>
  </si>
  <si>
    <t>Cena</t>
  </si>
  <si>
    <t>PVN %</t>
  </si>
  <si>
    <t>2024-001</t>
  </si>
  <si>
    <t>20.01.2024</t>
  </si>
  <si>
    <t>30.01.2024</t>
  </si>
  <si>
    <t>IT Konsultācijas</t>
  </si>
  <si>
    <t>st.</t>
  </si>
  <si>
    <t>2024-002</t>
  </si>
  <si>
    <t>21.01.2024</t>
  </si>
  <si>
    <t>31.01.2024</t>
  </si>
  <si>
    <t>Web izstrāde</t>
  </si>
  <si>
    <t>gab.</t>
  </si>
  <si>
    <t>RĒĶINS / INVOICE</t>
  </si>
  <si>
    <t>Rēķina Nr.:</t>
  </si>
  <si>
    <t>[VIETA JŪSU LOGO]</t>
  </si>
  <si>
    <t>IZPILDĪTĀJS:</t>
  </si>
  <si>
    <t>Jūsu Uzņēmums SIA</t>
  </si>
  <si>
    <t>Reģ. Nr. 40000000000</t>
  </si>
  <si>
    <t>Adrese: Rīga, Iela 1</t>
  </si>
  <si>
    <t>Banka: Swedbank</t>
  </si>
  <si>
    <t>Konta Nr.: LV00HABA...</t>
  </si>
  <si>
    <t>MAKSĀTĀJS:</t>
  </si>
  <si>
    <t>Datums:</t>
  </si>
  <si>
    <t>Apmaksas termiņš:</t>
  </si>
  <si>
    <t>Pakalpojums / Prece</t>
  </si>
  <si>
    <t>Mērv.</t>
  </si>
  <si>
    <t>Daudz.</t>
  </si>
  <si>
    <t>Summa</t>
  </si>
  <si>
    <t>Summa bez PVN:</t>
  </si>
  <si>
    <t>PVN 21%:</t>
  </si>
  <si>
    <t>KOPĀ APMAKSAI:</t>
  </si>
  <si>
    <t>Rēķinu sagatavoja: ____________________</t>
  </si>
</sst>
</file>

<file path=xl/styles.xml><?xml version="1.0" encoding="utf-8"?>
<styleSheet xmlns="http://schemas.openxmlformats.org/spreadsheetml/2006/main">
  <numFmts count="1">
    <numFmt numFmtId="164" formatCode="#,##0.00 €"/>
  </numFmts>
  <fonts count="9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0"/>
      <color rgb="FF1F497D"/>
      <name val="Calibri"/>
      <family val="2"/>
      <scheme val="minor"/>
    </font>
    <font>
      <sz val="11"/>
      <color rgb="FF99999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/>
    </xf>
    <xf numFmtId="0" fontId="5" fillId="3" borderId="1" xfId="0" applyFont="1" applyFill="1" applyBorder="1" applyAlignment="1">
      <alignment horizontal="center"/>
    </xf>
    <xf numFmtId="0" fontId="6" fillId="0" borderId="0" xfId="0" applyFont="1"/>
    <xf numFmtId="0" fontId="4" fillId="0" borderId="0" xfId="0" applyFont="1"/>
    <xf numFmtId="164" fontId="0" fillId="0" borderId="1" xfId="0" applyNumberFormat="1" applyBorder="1"/>
    <xf numFmtId="0" fontId="7" fillId="0" borderId="0" xfId="0" applyFont="1" applyAlignment="1">
      <alignment horizontal="right"/>
    </xf>
    <xf numFmtId="0" fontId="4" fillId="4" borderId="1" xfId="0" applyFont="1" applyFill="1" applyBorder="1" applyAlignment="1">
      <alignment horizontal="right"/>
    </xf>
    <xf numFmtId="164" fontId="4" fillId="5" borderId="1" xfId="0" applyNumberFormat="1" applyFont="1" applyFill="1" applyBorder="1"/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8" width="15.7109375" customWidth="1"/>
    <col min="9" max="9" width="2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cols>
    <col min="1" max="3" width="12.7109375" customWidth="1"/>
    <col min="4" max="4" width="10.7109375" customWidth="1"/>
    <col min="5" max="5" width="30.7109375" customWidth="1"/>
  </cols>
  <sheetData>
    <row r="1" spans="1:9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</row>
    <row r="2" spans="1:9">
      <c r="A2" s="2" t="s">
        <v>36</v>
      </c>
      <c r="B2" s="2" t="s">
        <v>37</v>
      </c>
      <c r="C2" s="2" t="s">
        <v>38</v>
      </c>
      <c r="D2" s="2" t="s">
        <v>9</v>
      </c>
      <c r="E2" s="2" t="s">
        <v>39</v>
      </c>
      <c r="F2" s="2" t="s">
        <v>40</v>
      </c>
      <c r="G2" s="2">
        <v>5</v>
      </c>
      <c r="H2" s="2">
        <v>50</v>
      </c>
      <c r="I2" s="2">
        <v>0.21</v>
      </c>
    </row>
    <row r="3" spans="1:9">
      <c r="A3" s="2" t="s">
        <v>41</v>
      </c>
      <c r="B3" s="2" t="s">
        <v>42</v>
      </c>
      <c r="C3" s="2" t="s">
        <v>43</v>
      </c>
      <c r="D3" s="2" t="s">
        <v>18</v>
      </c>
      <c r="E3" s="2" t="s">
        <v>44</v>
      </c>
      <c r="F3" s="2" t="s">
        <v>45</v>
      </c>
      <c r="G3" s="2">
        <v>1</v>
      </c>
      <c r="H3" s="2">
        <v>500</v>
      </c>
      <c r="I3" s="2">
        <v>0.21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F24"/>
  <sheetViews>
    <sheetView workbookViewId="0"/>
  </sheetViews>
  <sheetFormatPr defaultRowHeight="15"/>
  <cols>
    <col min="1" max="1" width="2.7109375" customWidth="1"/>
    <col min="2" max="3" width="20.7109375" customWidth="1"/>
    <col min="4" max="5" width="12.7109375" customWidth="1"/>
    <col min="6" max="6" width="15.7109375" customWidth="1"/>
  </cols>
  <sheetData>
    <row r="2" spans="2:6">
      <c r="B2" s="3" t="s">
        <v>46</v>
      </c>
      <c r="C2" s="3"/>
      <c r="D2" s="3"/>
      <c r="E2" s="3"/>
      <c r="F2" s="3"/>
    </row>
    <row r="4" spans="2:6">
      <c r="B4" s="4" t="s">
        <v>48</v>
      </c>
      <c r="C4" s="4"/>
      <c r="E4" s="5" t="s">
        <v>47</v>
      </c>
      <c r="F4" s="6" t="s">
        <v>36</v>
      </c>
    </row>
    <row r="5" spans="2:6">
      <c r="B5" s="4"/>
      <c r="C5" s="4"/>
    </row>
    <row r="7" spans="2:6">
      <c r="B7" s="7" t="s">
        <v>49</v>
      </c>
      <c r="E7" s="7" t="s">
        <v>55</v>
      </c>
    </row>
    <row r="8" spans="2:6">
      <c r="B8" t="s">
        <v>50</v>
      </c>
      <c r="E8" s="8">
        <f>VLOOKUP(VLOOKUP(F4,DATA!A:D,4,FALSE),CLIENTS!A:B,2,FALSE)</f>
        <v>0</v>
      </c>
    </row>
    <row r="9" spans="2:6">
      <c r="B9" t="s">
        <v>51</v>
      </c>
      <c r="E9">
        <f>VLOOKUP(VLOOKUP(F4,DATA!A:D,4,FALSE),CLIENTS!A:C,3,FALSE)</f>
        <v>0</v>
      </c>
    </row>
    <row r="10" spans="2:6">
      <c r="B10" t="s">
        <v>52</v>
      </c>
      <c r="E10">
        <f>VLOOKUP(VLOOKUP(F4,DATA!A:D,4,FALSE),CLIENTS!A:E,5,FALSE)</f>
        <v>0</v>
      </c>
    </row>
    <row r="11" spans="2:6">
      <c r="B11" t="s">
        <v>53</v>
      </c>
    </row>
    <row r="12" spans="2:6">
      <c r="B12" t="s">
        <v>54</v>
      </c>
      <c r="E12" s="5" t="s">
        <v>56</v>
      </c>
      <c r="F12" s="2">
        <f>VLOOKUP(F4,DATA!A:C,2,FALSE)</f>
        <v>0</v>
      </c>
    </row>
    <row r="13" spans="2:6">
      <c r="E13" s="5" t="s">
        <v>57</v>
      </c>
      <c r="F13" s="2">
        <f>VLOOKUP(F4,DATA!A:C,3,FALSE)</f>
        <v>0</v>
      </c>
    </row>
    <row r="15" spans="2:6">
      <c r="B15" s="1" t="s">
        <v>58</v>
      </c>
      <c r="C15" s="1" t="s">
        <v>59</v>
      </c>
      <c r="D15" s="1" t="s">
        <v>60</v>
      </c>
      <c r="E15" s="1" t="s">
        <v>34</v>
      </c>
      <c r="F15" s="1" t="s">
        <v>61</v>
      </c>
    </row>
    <row r="16" spans="2:6">
      <c r="B16" s="2">
        <f>VLOOKUP(F4,DATA!A:E,5,FALSE)</f>
        <v>0</v>
      </c>
      <c r="C16" s="2">
        <f>VLOOKUP(F4,DATA!A:F,6,FALSE)</f>
        <v>0</v>
      </c>
      <c r="D16" s="2">
        <f>VLOOKUP(F4,DATA!A:G,7,FALSE)</f>
        <v>0</v>
      </c>
      <c r="E16" s="9">
        <f>VLOOKUP(F4,DATA!A:H,8,FALSE)</f>
        <v>0</v>
      </c>
      <c r="F16" s="9">
        <f>D16*E16</f>
        <v>0</v>
      </c>
    </row>
    <row r="18" spans="2:6">
      <c r="E18" s="10" t="s">
        <v>62</v>
      </c>
      <c r="F18" s="9">
        <f>F16</f>
        <v>0</v>
      </c>
    </row>
    <row r="19" spans="2:6">
      <c r="E19" s="10" t="s">
        <v>63</v>
      </c>
      <c r="F19" s="9">
        <f>F18*0.21</f>
        <v>0</v>
      </c>
    </row>
    <row r="20" spans="2:6">
      <c r="E20" s="11" t="s">
        <v>64</v>
      </c>
      <c r="F20" s="12">
        <f>F18+F19</f>
        <v>0</v>
      </c>
    </row>
    <row r="24" spans="2:6">
      <c r="B24" s="13" t="s">
        <v>65</v>
      </c>
      <c r="C24" s="13"/>
    </row>
  </sheetData>
  <mergeCells count="3">
    <mergeCell ref="B2:F2"/>
    <mergeCell ref="B4:C5"/>
    <mergeCell ref="B24:C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CLIENTS</vt:lpstr>
      <vt:lpstr>DATA</vt:lpstr>
      <vt:lpstr>INVOICE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2026-01-20T13:31:12Z</dcterms:created>
  <dcterms:modified xsi:type="dcterms:W3CDTF">2026-01-20T13:31:12Z</dcterms:modified>
</cp:coreProperties>
</file>